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Filtros" sheetId="1" state="visible" r:id="rId1"/>
    <sheet xmlns:r="http://schemas.openxmlformats.org/officeDocument/2006/relationships" name="Movimientos" sheetId="2" state="visible" r:id="rId2"/>
  </sheets>
  <definedNames>
    <definedName name="A1xZ400000">#REF!</definedName>
  </definedNames>
  <calcPr calcId="162913" calcMode="manual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0"/>
      <sz val="14"/>
      <scheme val="minor"/>
    </font>
    <font>
      <name val="Calibri"/>
      <family val="2"/>
      <sz val="8"/>
      <scheme val="minor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/>
        <bgColor theme="5"/>
      </patternFill>
    </fill>
    <fill>
      <patternFill patternType="solid">
        <fgColor theme="5"/>
        <bgColor indexed="64"/>
      </patternFill>
    </fill>
  </fills>
  <borders count="6">
    <border>
      <left/>
      <right/>
      <top/>
      <bottom/>
      <diagonal/>
    </border>
    <border>
      <left style="thin">
        <color theme="5"/>
      </left>
      <right style="thin">
        <color theme="5"/>
      </right>
      <top style="thin">
        <color theme="5"/>
      </top>
      <bottom/>
      <diagonal/>
    </border>
    <border>
      <left style="thin">
        <color theme="5"/>
      </left>
      <right/>
      <top/>
      <bottom/>
      <diagonal/>
    </border>
    <border>
      <left/>
      <right/>
      <top/>
      <bottom style="thin">
        <color theme="5"/>
      </bottom>
      <diagonal/>
    </border>
    <border>
      <left/>
      <right/>
      <top style="thin">
        <color theme="5"/>
      </top>
      <bottom/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/>
    </xf>
    <xf numFmtId="0" fontId="1" fillId="3" borderId="2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2" borderId="2" pivotButton="0" quotePrefix="0" xfId="0"/>
    <xf numFmtId="0" fontId="0" fillId="2" borderId="5" pivotButton="0" quotePrefix="0" xfId="0"/>
    <xf numFmtId="0" fontId="0" fillId="2" borderId="4" pivotButton="0" quotePrefix="0" xfId="0"/>
    <xf numFmtId="17" fontId="2" fillId="4" borderId="3" applyAlignment="1" pivotButton="0" quotePrefix="0" xfId="0">
      <alignment horizontal="center" vertical="center"/>
    </xf>
    <xf numFmtId="0" fontId="2" fillId="4" borderId="3" applyAlignment="1" pivotButton="0" quotePrefix="0" xfId="0">
      <alignment horizontal="center" vertical="center"/>
    </xf>
    <xf numFmtId="4" fontId="0" fillId="0" borderId="0" applyAlignment="1" pivotButton="0" quotePrefix="0" xfId="0">
      <alignment horizontal="center" vertical="center"/>
    </xf>
    <xf numFmtId="0" fontId="0" fillId="0" borderId="3" pivotButton="0" quotePrefix="0" xfId="0"/>
  </cellXfs>
  <cellStyles count="1">
    <cellStyle name="Normal" xfId="0" builtinId="0"/>
  </cellStyles>
  <dxfs count="8">
    <dxf>
      <numFmt numFmtId="19" formatCode="dd/mm/yyyy"/>
      <alignment horizontal="center" vertical="center"/>
    </dxf>
    <dxf>
      <numFmt numFmtId="4" formatCode="#,##0.00"/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fill>
        <patternFill patternType="solid">
          <fgColor rgb="00F4CCCC"/>
          <bgColor rgb="00F4CCCC"/>
        </patternFill>
      </fill>
    </dxf>
    <dxf>
      <fill>
        <patternFill patternType="solid">
          <fgColor rgb="00D9EAD3"/>
          <bgColor rgb="00D9EAD3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Movimientos" displayName="Movimientos" ref="B2:E307" headerRowCount="1" totalsRowShown="0" headerRowDxfId="5" dataDxfId="4">
  <autoFilter ref="B2:E307"/>
  <tableColumns count="4">
    <tableColumn id="5" name="Jurisdiccion" dataDxfId="3"/>
    <tableColumn id="2" name="Codigo" dataDxfId="2"/>
    <tableColumn id="4" name="Monto" dataDxfId="1"/>
    <tableColumn id="3" name="Fecha" dataDxfId="0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Sheet2">
    <tabColor theme="6" tint="0.3999755851924192"/>
    <outlinePr summaryBelow="1" summaryRight="1"/>
    <pageSetUpPr/>
  </sheetPr>
  <dimension ref="B1:K4"/>
  <sheetViews>
    <sheetView tabSelected="1" zoomScale="85" zoomScaleNormal="85" workbookViewId="0">
      <selection activeCell="J9" sqref="J9"/>
    </sheetView>
  </sheetViews>
  <sheetFormatPr baseColWidth="8" defaultRowHeight="14.5"/>
  <cols>
    <col width="4" customWidth="1" style="3" min="1" max="1"/>
    <col width="14" customWidth="1" style="3" min="2" max="2"/>
    <col width="8.7265625" customWidth="1" style="3" min="3" max="3"/>
    <col width="15.08984375" bestFit="1" customWidth="1" style="3" min="4" max="4"/>
    <col width="11" bestFit="1" customWidth="1" style="3" min="5" max="5"/>
    <col width="4.26953125" customWidth="1" style="3" min="6" max="6"/>
    <col width="11.1796875" bestFit="1" customWidth="1" style="3" min="7" max="7"/>
    <col width="13.1796875" bestFit="1" customWidth="1" style="3" min="8" max="10"/>
    <col width="16.08984375" bestFit="1" customWidth="1" style="3" min="11" max="11"/>
    <col width="8.7265625" customWidth="1" style="3" min="12" max="12"/>
    <col width="168" bestFit="1" customWidth="1" style="3" min="13" max="13"/>
  </cols>
  <sheetData>
    <row r="1" ht="18.5" customHeight="1">
      <c r="B1" s="10">
        <f>"Jul2025"</f>
        <v/>
      </c>
      <c r="C1" s="13" t="n"/>
      <c r="D1" s="13" t="n"/>
      <c r="E1" s="13" t="n"/>
      <c r="K1">
        <f>SUBTOTAL(9;K3:K10000)</f>
        <v/>
      </c>
    </row>
    <row r="2">
      <c r="B2" s="4" t="inlineStr">
        <is>
          <t>Jurisdicción</t>
        </is>
      </c>
      <c r="C2" s="4" t="inlineStr">
        <is>
          <t>Código</t>
        </is>
      </c>
      <c r="D2" s="4" t="inlineStr">
        <is>
          <t>Monto</t>
        </is>
      </c>
      <c r="E2" s="4" t="inlineStr">
        <is>
          <t>Fecha</t>
        </is>
      </c>
      <c r="G2" s="5" t="inlineStr">
        <is>
          <t>Fecha Form.</t>
        </is>
      </c>
      <c r="H2" s="5" t="inlineStr">
        <is>
          <t>Coincidencia 1</t>
        </is>
      </c>
      <c r="I2" s="5" t="inlineStr">
        <is>
          <t>Num Código</t>
        </is>
      </c>
      <c r="J2" s="5" t="inlineStr">
        <is>
          <t>Coincidencia 2</t>
        </is>
      </c>
      <c r="K2" s="6" t="inlineStr">
        <is>
          <t>Suma</t>
        </is>
      </c>
    </row>
    <row r="3">
      <c r="B3" s="8">
        <f>LET(data;Movimientos!B3:E10000;cod;INDICE(data;;2);fecha;INDICE(data;;4);condCAD;ESNUMERO(HALLAR("CAD";cod));condJulio;(MES(fecha)=7)*(AÑO(fecha)=2025);condRango;(fecha&gt;=FECHA(2025;1;15))*(fecha&lt;=FECHA(2025;2;15));fil;FILTRAR(data;condCAD*((condJulio+condRango)&gt;0);"");ORDENARPOR(fil;INDICE(fil;;3);-1))</f>
        <v/>
      </c>
      <c r="C3" s="8" t="n"/>
      <c r="D3" s="8" t="n"/>
      <c r="E3" s="8" t="n"/>
      <c r="F3" s="7" t="n"/>
      <c r="G3" s="8">
        <f>VALOR(ORDENAR(TEXTO(E3#;"yyyymmdd");1;1))</f>
        <v/>
      </c>
      <c r="H3" s="8">
        <f>SI.ERROR(COINCIDIRX(G3#;VALOR(TEXTO(E3#;"yyyymmdd"));0);"")</f>
        <v/>
      </c>
      <c r="I3" s="8">
        <f>SI.ERROR(--IZQUIERDA(C3#;HALLAR("-";C3#)-1);"")</f>
        <v/>
      </c>
      <c r="J3" s="8">
        <f>SI(CONTAR.SI(I3#;H3#)=0;"";CONTAR.SI(I3#;H3#))</f>
        <v/>
      </c>
      <c r="K3" s="8">
        <f>SI.ERROR(SI((H3#&gt;=10)*(H3#&lt;=24);D3#*J3#;D3#);0)</f>
        <v/>
      </c>
    </row>
    <row r="4">
      <c r="B4" s="9" t="n"/>
      <c r="E4" s="9" t="n"/>
    </row>
  </sheetData>
  <mergeCells count="1">
    <mergeCell ref="B1:E1"/>
  </mergeCells>
  <conditionalFormatting sqref="J3:J10000">
    <cfRule type="cellIs" priority="1" operator="greaterThanOrEqual" dxfId="6">
      <formula>1</formula>
    </cfRule>
  </conditionalFormatting>
  <conditionalFormatting sqref="K3:K10000">
    <cfRule type="cellIs" priority="2" operator="greaterThan" dxfId="7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Movimientos">
    <tabColor theme="6" tint="0.3999755851924192"/>
    <outlinePr summaryBelow="1" summaryRight="1"/>
    <pageSetUpPr/>
  </sheetPr>
  <dimension ref="B2:E307"/>
  <sheetViews>
    <sheetView showGridLines="0" zoomScale="130" zoomScaleNormal="130" workbookViewId="0">
      <selection activeCell="C6" sqref="C6"/>
    </sheetView>
  </sheetViews>
  <sheetFormatPr baseColWidth="8" defaultRowHeight="14.5"/>
  <cols>
    <col width="2.7265625" customWidth="1" min="1" max="1"/>
    <col width="15.81640625" bestFit="1" customWidth="1" min="2" max="2"/>
    <col width="16.81640625" customWidth="1" min="3" max="4"/>
    <col width="26.26953125" customWidth="1" min="5" max="5"/>
    <col width="2.7265625" customWidth="1" min="6" max="6"/>
  </cols>
  <sheetData>
    <row r="2">
      <c r="B2" s="1" t="inlineStr">
        <is>
          <t>Jurisdiccion</t>
        </is>
      </c>
      <c r="C2" s="1" t="inlineStr">
        <is>
          <t>Codigo</t>
        </is>
      </c>
      <c r="D2" s="1" t="inlineStr">
        <is>
          <t>Monto</t>
        </is>
      </c>
      <c r="E2" s="1" t="inlineStr">
        <is>
          <t>Fecha</t>
        </is>
      </c>
    </row>
    <row r="3">
      <c r="B3" s="1" t="n">
        <v>7</v>
      </c>
      <c r="C3" s="1" t="inlineStr">
        <is>
          <t>001-CAD</t>
        </is>
      </c>
      <c r="D3" s="12" t="n">
        <v>1473377.26</v>
      </c>
      <c r="E3" s="2" t="n">
        <v>45770</v>
      </c>
    </row>
    <row r="4">
      <c r="B4" s="1" t="n">
        <v>1</v>
      </c>
      <c r="C4" s="1" t="inlineStr">
        <is>
          <t>002-SAF</t>
        </is>
      </c>
      <c r="D4" s="12" t="n">
        <v>716695.22</v>
      </c>
      <c r="E4" s="2" t="n">
        <v>45972</v>
      </c>
    </row>
    <row r="5">
      <c r="B5" s="1" t="n">
        <v>3</v>
      </c>
      <c r="C5" s="1" t="inlineStr">
        <is>
          <t>003-SAF</t>
        </is>
      </c>
      <c r="D5" s="12" t="n">
        <v>590760.04</v>
      </c>
      <c r="E5" s="2" t="n">
        <v>45754</v>
      </c>
    </row>
    <row r="6">
      <c r="B6" s="1" t="n">
        <v>18</v>
      </c>
      <c r="C6" s="1" t="inlineStr">
        <is>
          <t>004-CAD</t>
        </is>
      </c>
      <c r="D6" s="12" t="n">
        <v>282821.74</v>
      </c>
      <c r="E6" s="2" t="n">
        <v>45696</v>
      </c>
    </row>
    <row r="7">
      <c r="B7" s="1" t="n">
        <v>22</v>
      </c>
      <c r="C7" s="1" t="inlineStr">
        <is>
          <t>005-CAD</t>
        </is>
      </c>
      <c r="D7" s="12" t="n">
        <v>884634.8</v>
      </c>
      <c r="E7" s="2" t="n">
        <v>45788</v>
      </c>
    </row>
    <row r="8">
      <c r="B8" s="1" t="n">
        <v>9</v>
      </c>
      <c r="C8" s="1" t="inlineStr">
        <is>
          <t>006-CAD</t>
        </is>
      </c>
      <c r="D8" s="12" t="n">
        <v>1008436.24</v>
      </c>
      <c r="E8" s="2" t="n">
        <v>45862</v>
      </c>
    </row>
    <row r="9">
      <c r="B9" s="1" t="n">
        <v>8</v>
      </c>
      <c r="C9" s="1" t="inlineStr">
        <is>
          <t>007-CAD</t>
        </is>
      </c>
      <c r="D9" s="12" t="n">
        <v>552020.13</v>
      </c>
      <c r="E9" s="2" t="n">
        <v>45913</v>
      </c>
    </row>
    <row r="10">
      <c r="B10" s="1" t="n">
        <v>20</v>
      </c>
      <c r="C10" s="1" t="inlineStr">
        <is>
          <t>008-CAD</t>
        </is>
      </c>
      <c r="D10" s="12" t="n">
        <v>434933.27</v>
      </c>
      <c r="E10" s="2" t="n">
        <v>45661</v>
      </c>
    </row>
    <row r="11">
      <c r="B11" s="1" t="n">
        <v>13</v>
      </c>
      <c r="C11" s="1" t="inlineStr">
        <is>
          <t>009-SAF</t>
        </is>
      </c>
      <c r="D11" s="12" t="n">
        <v>947881.2</v>
      </c>
      <c r="E11" s="2" t="n">
        <v>45730</v>
      </c>
    </row>
    <row r="12">
      <c r="B12" s="1" t="n">
        <v>4</v>
      </c>
      <c r="C12" s="1" t="inlineStr">
        <is>
          <t>010-CAD</t>
        </is>
      </c>
      <c r="D12" s="12" t="n">
        <v>375034.65</v>
      </c>
      <c r="E12" s="2" t="n">
        <v>45947</v>
      </c>
    </row>
    <row r="13">
      <c r="B13" s="1" t="n">
        <v>10</v>
      </c>
      <c r="C13" s="1" t="inlineStr">
        <is>
          <t>011-CAD</t>
        </is>
      </c>
      <c r="D13" s="12" t="n">
        <v>1651261.43</v>
      </c>
      <c r="E13" s="2" t="n">
        <v>45756</v>
      </c>
    </row>
    <row r="14">
      <c r="B14" s="1" t="n">
        <v>3</v>
      </c>
      <c r="C14" s="1" t="inlineStr">
        <is>
          <t>012-SAF</t>
        </is>
      </c>
      <c r="D14" s="12" t="n">
        <v>1634823.96</v>
      </c>
      <c r="E14" s="2" t="n">
        <v>45881</v>
      </c>
    </row>
    <row r="15">
      <c r="B15" s="1" t="n">
        <v>12</v>
      </c>
      <c r="C15" s="1" t="inlineStr">
        <is>
          <t>013-CAD</t>
        </is>
      </c>
      <c r="D15" s="12" t="n">
        <v>1246224.52</v>
      </c>
      <c r="E15" s="2" t="n">
        <v>45794</v>
      </c>
    </row>
    <row r="16">
      <c r="B16" s="1" t="n">
        <v>13</v>
      </c>
      <c r="C16" s="1" t="inlineStr">
        <is>
          <t>014-SAF</t>
        </is>
      </c>
      <c r="D16" s="12" t="n">
        <v>195717.39</v>
      </c>
      <c r="E16" s="2" t="n">
        <v>45830</v>
      </c>
    </row>
    <row r="17">
      <c r="B17" s="1" t="n">
        <v>1</v>
      </c>
      <c r="C17" s="1" t="inlineStr">
        <is>
          <t>015-SAF</t>
        </is>
      </c>
      <c r="D17" s="12" t="n">
        <v>1900874.7</v>
      </c>
      <c r="E17" s="2" t="n">
        <v>45790</v>
      </c>
    </row>
    <row r="18">
      <c r="B18" s="1" t="n">
        <v>4</v>
      </c>
      <c r="C18" s="1" t="inlineStr">
        <is>
          <t>016-SAF</t>
        </is>
      </c>
      <c r="D18" s="12" t="n">
        <v>354198.25</v>
      </c>
      <c r="E18" s="2" t="n">
        <v>45680</v>
      </c>
    </row>
    <row r="19">
      <c r="B19" s="1" t="n">
        <v>4</v>
      </c>
      <c r="C19" s="1" t="inlineStr">
        <is>
          <t>017-CAD</t>
        </is>
      </c>
      <c r="D19" s="12" t="n">
        <v>1042423.29</v>
      </c>
      <c r="E19" s="2" t="n">
        <v>45760</v>
      </c>
    </row>
    <row r="20">
      <c r="B20" s="1" t="n">
        <v>11</v>
      </c>
      <c r="C20" s="1" t="inlineStr">
        <is>
          <t>018-CAD</t>
        </is>
      </c>
      <c r="D20" s="12" t="n">
        <v>158905.41</v>
      </c>
      <c r="E20" s="2" t="n">
        <v>46007</v>
      </c>
    </row>
    <row r="21">
      <c r="B21" s="1" t="n">
        <v>17</v>
      </c>
      <c r="C21" s="1" t="inlineStr">
        <is>
          <t>019-SAF</t>
        </is>
      </c>
      <c r="D21" s="12" t="n">
        <v>458375.72</v>
      </c>
      <c r="E21" s="2" t="n">
        <v>45666</v>
      </c>
    </row>
    <row r="22">
      <c r="B22" s="1" t="n">
        <v>18</v>
      </c>
      <c r="C22" s="1" t="inlineStr">
        <is>
          <t>020-SAF</t>
        </is>
      </c>
      <c r="D22" s="12" t="n">
        <v>1381010.56</v>
      </c>
      <c r="E22" s="2" t="n">
        <v>45860</v>
      </c>
    </row>
    <row r="23">
      <c r="B23" s="1" t="n">
        <v>19</v>
      </c>
      <c r="C23" s="1" t="inlineStr">
        <is>
          <t>021-CAD</t>
        </is>
      </c>
      <c r="D23" s="12" t="n">
        <v>50570.38</v>
      </c>
      <c r="E23" s="2" t="n">
        <v>45862</v>
      </c>
    </row>
    <row r="24">
      <c r="B24" s="1" t="n">
        <v>17</v>
      </c>
      <c r="C24" s="1" t="inlineStr">
        <is>
          <t>022-SAF</t>
        </is>
      </c>
      <c r="D24" s="12" t="n">
        <v>1212444.85</v>
      </c>
      <c r="E24" s="2" t="n">
        <v>45786</v>
      </c>
    </row>
    <row r="25">
      <c r="B25" s="1" t="n">
        <v>5</v>
      </c>
      <c r="C25" s="1" t="inlineStr">
        <is>
          <t>023-SAF</t>
        </is>
      </c>
      <c r="D25" s="12" t="n">
        <v>523622.01</v>
      </c>
      <c r="E25" s="2" t="n">
        <v>45859</v>
      </c>
    </row>
    <row r="26">
      <c r="B26" s="1" t="n">
        <v>7</v>
      </c>
      <c r="C26" s="1" t="inlineStr">
        <is>
          <t>024-SAF</t>
        </is>
      </c>
      <c r="D26" s="12" t="n">
        <v>90935.99000000001</v>
      </c>
      <c r="E26" s="2" t="n">
        <v>45719</v>
      </c>
    </row>
    <row r="27">
      <c r="B27" s="1" t="n">
        <v>13</v>
      </c>
      <c r="C27" s="1" t="inlineStr">
        <is>
          <t>025-CAD</t>
        </is>
      </c>
      <c r="D27" s="12" t="n">
        <v>381634.86</v>
      </c>
      <c r="E27" s="2" t="n">
        <v>45752</v>
      </c>
    </row>
    <row r="28">
      <c r="B28" s="1" t="n">
        <v>13</v>
      </c>
      <c r="C28" s="1" t="inlineStr">
        <is>
          <t>026-CAD</t>
        </is>
      </c>
      <c r="D28" s="12" t="n">
        <v>63954.33</v>
      </c>
      <c r="E28" s="2" t="n">
        <v>45705</v>
      </c>
    </row>
    <row r="29">
      <c r="B29" s="1" t="n">
        <v>11</v>
      </c>
      <c r="C29" s="1" t="inlineStr">
        <is>
          <t>027-SAF</t>
        </is>
      </c>
      <c r="D29" s="12" t="n">
        <v>1946597.41</v>
      </c>
      <c r="E29" s="2" t="n">
        <v>45984</v>
      </c>
    </row>
    <row r="30">
      <c r="B30" s="1" t="n">
        <v>6</v>
      </c>
      <c r="C30" s="1" t="inlineStr">
        <is>
          <t>028-CAD</t>
        </is>
      </c>
      <c r="D30" s="12" t="n">
        <v>1163691.95</v>
      </c>
      <c r="E30" s="2" t="n">
        <v>45818</v>
      </c>
    </row>
    <row r="31">
      <c r="B31" s="1" t="n">
        <v>23</v>
      </c>
      <c r="C31" s="1" t="inlineStr">
        <is>
          <t>029-SAF</t>
        </is>
      </c>
      <c r="D31" s="12" t="n">
        <v>1281202.32</v>
      </c>
      <c r="E31" s="2" t="n">
        <v>45875</v>
      </c>
    </row>
    <row r="32">
      <c r="B32" s="1" t="n">
        <v>5</v>
      </c>
      <c r="C32" s="1" t="inlineStr">
        <is>
          <t>030-CAD</t>
        </is>
      </c>
      <c r="D32" s="12" t="n">
        <v>116053.77</v>
      </c>
      <c r="E32" s="2" t="n">
        <v>45819</v>
      </c>
    </row>
    <row r="33">
      <c r="B33" s="1" t="n">
        <v>18</v>
      </c>
      <c r="C33" s="1" t="inlineStr">
        <is>
          <t>031-SAF</t>
        </is>
      </c>
      <c r="D33" s="12" t="n">
        <v>63174.28</v>
      </c>
      <c r="E33" s="2" t="n">
        <v>45998</v>
      </c>
    </row>
    <row r="34">
      <c r="B34" s="1" t="n">
        <v>18</v>
      </c>
      <c r="C34" s="1" t="inlineStr">
        <is>
          <t>032-SAF</t>
        </is>
      </c>
      <c r="D34" s="12" t="n">
        <v>485603.79</v>
      </c>
      <c r="E34" s="2" t="n">
        <v>46004</v>
      </c>
    </row>
    <row r="35">
      <c r="B35" s="1" t="n">
        <v>17</v>
      </c>
      <c r="C35" s="1" t="inlineStr">
        <is>
          <t>033-CAD</t>
        </is>
      </c>
      <c r="D35" s="12" t="n">
        <v>343221.36</v>
      </c>
      <c r="E35" s="2" t="n">
        <v>45992</v>
      </c>
    </row>
    <row r="36">
      <c r="B36" s="1" t="n">
        <v>9</v>
      </c>
      <c r="C36" s="1" t="inlineStr">
        <is>
          <t>034-SAF</t>
        </is>
      </c>
      <c r="D36" s="12" t="n">
        <v>690593.38</v>
      </c>
      <c r="E36" s="2" t="n">
        <v>45862</v>
      </c>
    </row>
    <row r="37">
      <c r="B37" s="1" t="n">
        <v>24</v>
      </c>
      <c r="C37" s="1" t="inlineStr">
        <is>
          <t>035-SAF</t>
        </is>
      </c>
      <c r="D37" s="12" t="n">
        <v>603881.79</v>
      </c>
      <c r="E37" s="2" t="n">
        <v>45853</v>
      </c>
    </row>
    <row r="38">
      <c r="B38" s="1" t="n">
        <v>1</v>
      </c>
      <c r="C38" s="1" t="inlineStr">
        <is>
          <t>036-SAF</t>
        </is>
      </c>
      <c r="D38" s="12" t="n">
        <v>1034554.85</v>
      </c>
      <c r="E38" s="2" t="n">
        <v>45882</v>
      </c>
    </row>
    <row r="39">
      <c r="B39" s="1" t="n">
        <v>1</v>
      </c>
      <c r="C39" s="1" t="inlineStr">
        <is>
          <t>037-CAD</t>
        </is>
      </c>
      <c r="D39" s="12" t="n">
        <v>1350101.07</v>
      </c>
      <c r="E39" s="2" t="n">
        <v>45660</v>
      </c>
    </row>
    <row r="40">
      <c r="B40" s="1" t="n">
        <v>18</v>
      </c>
      <c r="C40" s="1" t="inlineStr">
        <is>
          <t>038-SAF</t>
        </is>
      </c>
      <c r="D40" s="12" t="n">
        <v>1628562.32</v>
      </c>
      <c r="E40" s="2" t="n">
        <v>45785</v>
      </c>
    </row>
    <row r="41">
      <c r="B41" s="1" t="n">
        <v>13</v>
      </c>
      <c r="C41" s="1" t="inlineStr">
        <is>
          <t>039-SAF</t>
        </is>
      </c>
      <c r="D41" s="12" t="n">
        <v>1004510.5</v>
      </c>
      <c r="E41" s="2" t="n">
        <v>45758</v>
      </c>
    </row>
    <row r="42">
      <c r="B42" s="1" t="n">
        <v>20</v>
      </c>
      <c r="C42" s="1" t="inlineStr">
        <is>
          <t>040-CAD</t>
        </is>
      </c>
      <c r="D42" s="12" t="n">
        <v>1932955.07</v>
      </c>
      <c r="E42" s="2" t="n">
        <v>45672</v>
      </c>
    </row>
    <row r="43">
      <c r="B43" s="1" t="n">
        <v>5</v>
      </c>
      <c r="C43" s="1" t="inlineStr">
        <is>
          <t>041-SAF</t>
        </is>
      </c>
      <c r="D43" s="12" t="n">
        <v>687571.23</v>
      </c>
      <c r="E43" s="2" t="n">
        <v>45945</v>
      </c>
    </row>
    <row r="44">
      <c r="B44" s="1" t="n">
        <v>10</v>
      </c>
      <c r="C44" s="1" t="inlineStr">
        <is>
          <t>042-SAF</t>
        </is>
      </c>
      <c r="D44" s="12" t="n">
        <v>640108.15</v>
      </c>
      <c r="E44" s="2" t="n">
        <v>46001</v>
      </c>
    </row>
    <row r="45">
      <c r="B45" s="1" t="n">
        <v>2</v>
      </c>
      <c r="C45" s="1" t="inlineStr">
        <is>
          <t>043-SAF</t>
        </is>
      </c>
      <c r="D45" s="12" t="n">
        <v>657102.58</v>
      </c>
      <c r="E45" s="2" t="n">
        <v>45823</v>
      </c>
    </row>
    <row r="46">
      <c r="B46" s="1" t="n">
        <v>16</v>
      </c>
      <c r="C46" s="1" t="inlineStr">
        <is>
          <t>044-SAF</t>
        </is>
      </c>
      <c r="D46" s="12" t="n">
        <v>1648327.7</v>
      </c>
      <c r="E46" s="2" t="n">
        <v>45876</v>
      </c>
    </row>
    <row r="47">
      <c r="B47" s="1" t="n">
        <v>20</v>
      </c>
      <c r="C47" s="1" t="inlineStr">
        <is>
          <t>045-CAD</t>
        </is>
      </c>
      <c r="D47" s="12" t="n">
        <v>862916.41</v>
      </c>
      <c r="E47" s="2" t="n">
        <v>45830</v>
      </c>
    </row>
    <row r="48">
      <c r="B48" s="1" t="n">
        <v>19</v>
      </c>
      <c r="C48" s="1" t="inlineStr">
        <is>
          <t>046-CAD</t>
        </is>
      </c>
      <c r="D48" s="12" t="n">
        <v>1501469.55</v>
      </c>
      <c r="E48" s="2" t="n">
        <v>45845</v>
      </c>
    </row>
    <row r="49">
      <c r="B49" s="1" t="n">
        <v>8</v>
      </c>
      <c r="C49" s="1" t="inlineStr">
        <is>
          <t>047-SAF</t>
        </is>
      </c>
      <c r="D49" s="12" t="n">
        <v>1640366.92</v>
      </c>
      <c r="E49" s="2" t="n">
        <v>45934</v>
      </c>
    </row>
    <row r="50">
      <c r="B50" s="1" t="n">
        <v>24</v>
      </c>
      <c r="C50" s="1" t="inlineStr">
        <is>
          <t>048-SAF</t>
        </is>
      </c>
      <c r="D50" s="12" t="n">
        <v>1441103.24</v>
      </c>
      <c r="E50" s="2" t="n">
        <v>45841</v>
      </c>
    </row>
    <row r="51">
      <c r="B51" s="1" t="n">
        <v>6</v>
      </c>
      <c r="C51" s="1" t="inlineStr">
        <is>
          <t>049-CAD</t>
        </is>
      </c>
      <c r="D51" s="12" t="n">
        <v>671497.02</v>
      </c>
      <c r="E51" s="2" t="n">
        <v>45950</v>
      </c>
    </row>
    <row r="52">
      <c r="B52" s="1" t="n">
        <v>14</v>
      </c>
      <c r="C52" s="1" t="inlineStr">
        <is>
          <t>050-SAF</t>
        </is>
      </c>
      <c r="D52" s="12" t="n">
        <v>1769986.3</v>
      </c>
      <c r="E52" s="2" t="n">
        <v>45830</v>
      </c>
    </row>
    <row r="53">
      <c r="B53" s="1" t="n">
        <v>14</v>
      </c>
      <c r="C53" s="1" t="inlineStr">
        <is>
          <t>051-CAD</t>
        </is>
      </c>
      <c r="D53" s="12" t="n">
        <v>704955.96</v>
      </c>
      <c r="E53" s="2" t="n">
        <v>45852</v>
      </c>
    </row>
    <row r="54">
      <c r="B54" s="1" t="n">
        <v>24</v>
      </c>
      <c r="C54" s="1" t="inlineStr">
        <is>
          <t>052-CAD</t>
        </is>
      </c>
      <c r="D54" s="12" t="n">
        <v>1166782.76</v>
      </c>
      <c r="E54" s="2" t="n">
        <v>45809</v>
      </c>
    </row>
    <row r="55">
      <c r="B55" s="1" t="n">
        <v>22</v>
      </c>
      <c r="C55" s="1" t="inlineStr">
        <is>
          <t>053-CAD</t>
        </is>
      </c>
      <c r="D55" s="12" t="n">
        <v>1780933.22</v>
      </c>
      <c r="E55" s="2" t="n">
        <v>45699</v>
      </c>
    </row>
    <row r="56">
      <c r="B56" s="1" t="n">
        <v>13</v>
      </c>
      <c r="C56" s="1" t="inlineStr">
        <is>
          <t>054-SAF</t>
        </is>
      </c>
      <c r="D56" s="12" t="n">
        <v>816724.29</v>
      </c>
      <c r="E56" s="2" t="n">
        <v>45874</v>
      </c>
    </row>
    <row r="57">
      <c r="B57" s="1" t="n">
        <v>16</v>
      </c>
      <c r="C57" s="1" t="inlineStr">
        <is>
          <t>055-CAD</t>
        </is>
      </c>
      <c r="D57" s="12" t="n">
        <v>1120867.04</v>
      </c>
      <c r="E57" s="2" t="n">
        <v>45885</v>
      </c>
    </row>
    <row r="58">
      <c r="B58" s="1" t="n">
        <v>7</v>
      </c>
      <c r="C58" s="1" t="inlineStr">
        <is>
          <t>056-SAF</t>
        </is>
      </c>
      <c r="D58" s="12" t="n">
        <v>751097.41</v>
      </c>
      <c r="E58" s="2" t="n">
        <v>45932</v>
      </c>
    </row>
    <row r="59">
      <c r="B59" s="1" t="n">
        <v>15</v>
      </c>
      <c r="C59" s="1" t="inlineStr">
        <is>
          <t>057-SAF</t>
        </is>
      </c>
      <c r="D59" s="12" t="n">
        <v>1663210.5</v>
      </c>
      <c r="E59" s="2" t="n">
        <v>45882</v>
      </c>
    </row>
    <row r="60">
      <c r="B60" s="1" t="n">
        <v>24</v>
      </c>
      <c r="C60" s="1" t="inlineStr">
        <is>
          <t>058-CAD</t>
        </is>
      </c>
      <c r="D60" s="12" t="n">
        <v>1865177.18</v>
      </c>
      <c r="E60" s="2" t="n">
        <v>45671</v>
      </c>
    </row>
    <row r="61">
      <c r="B61" s="1" t="n">
        <v>2</v>
      </c>
      <c r="C61" s="1" t="inlineStr">
        <is>
          <t>059-SAF</t>
        </is>
      </c>
      <c r="D61" s="12" t="n">
        <v>890146.53</v>
      </c>
      <c r="E61" s="2" t="n">
        <v>45950</v>
      </c>
    </row>
    <row r="62">
      <c r="B62" s="1" t="n">
        <v>15</v>
      </c>
      <c r="C62" s="1" t="inlineStr">
        <is>
          <t>060-SAF</t>
        </is>
      </c>
      <c r="D62" s="12" t="n">
        <v>1873535.84</v>
      </c>
      <c r="E62" s="2" t="n">
        <v>45947</v>
      </c>
    </row>
    <row r="63">
      <c r="B63" s="1" t="n">
        <v>16</v>
      </c>
      <c r="C63" s="1" t="inlineStr">
        <is>
          <t>061-CAD</t>
        </is>
      </c>
      <c r="D63" s="12" t="n">
        <v>655948.48</v>
      </c>
      <c r="E63" s="2" t="n">
        <v>45789</v>
      </c>
    </row>
    <row r="64">
      <c r="B64" s="1" t="n">
        <v>2</v>
      </c>
      <c r="C64" s="1" t="inlineStr">
        <is>
          <t>062-CAD</t>
        </is>
      </c>
      <c r="D64" s="12" t="n">
        <v>1919548.56</v>
      </c>
      <c r="E64" s="2" t="n">
        <v>45922</v>
      </c>
    </row>
    <row r="65">
      <c r="B65" s="1" t="n">
        <v>21</v>
      </c>
      <c r="C65" s="1" t="inlineStr">
        <is>
          <t>063-CAD</t>
        </is>
      </c>
      <c r="D65" s="12" t="n">
        <v>1674099.05</v>
      </c>
      <c r="E65" s="2" t="n">
        <v>45822</v>
      </c>
    </row>
    <row r="66">
      <c r="B66" s="1" t="n">
        <v>13</v>
      </c>
      <c r="C66" s="1" t="inlineStr">
        <is>
          <t>064-CAD</t>
        </is>
      </c>
      <c r="D66" s="12" t="n">
        <v>1424352.81</v>
      </c>
      <c r="E66" s="2" t="n">
        <v>45965</v>
      </c>
    </row>
    <row r="67">
      <c r="B67" s="1" t="n">
        <v>17</v>
      </c>
      <c r="C67" s="1" t="inlineStr">
        <is>
          <t>065-SAF</t>
        </is>
      </c>
      <c r="D67" s="12" t="n">
        <v>1098599.59</v>
      </c>
      <c r="E67" s="2" t="n">
        <v>46009</v>
      </c>
    </row>
    <row r="68">
      <c r="B68" s="1" t="n">
        <v>5</v>
      </c>
      <c r="C68" s="1" t="inlineStr">
        <is>
          <t>066-CAD</t>
        </is>
      </c>
      <c r="D68" s="12" t="n">
        <v>270180.09</v>
      </c>
      <c r="E68" s="2" t="n">
        <v>45910</v>
      </c>
    </row>
    <row r="69">
      <c r="B69" s="1" t="n">
        <v>17</v>
      </c>
      <c r="C69" s="1" t="inlineStr">
        <is>
          <t>067-CAD</t>
        </is>
      </c>
      <c r="D69" s="12" t="n">
        <v>660095.52</v>
      </c>
      <c r="E69" s="2" t="n">
        <v>45870</v>
      </c>
    </row>
    <row r="70">
      <c r="B70" s="1" t="n">
        <v>18</v>
      </c>
      <c r="C70" s="1" t="inlineStr">
        <is>
          <t>068-SAF</t>
        </is>
      </c>
      <c r="D70" s="12" t="n">
        <v>314069.06</v>
      </c>
      <c r="E70" s="2" t="n">
        <v>45784</v>
      </c>
    </row>
    <row r="71">
      <c r="B71" s="1" t="n">
        <v>4</v>
      </c>
      <c r="C71" s="1" t="inlineStr">
        <is>
          <t>069-SAF</t>
        </is>
      </c>
      <c r="D71" s="12" t="n">
        <v>1025897.96</v>
      </c>
      <c r="E71" s="2" t="n">
        <v>45911</v>
      </c>
    </row>
    <row r="72">
      <c r="B72" s="1" t="n">
        <v>8</v>
      </c>
      <c r="C72" s="1" t="inlineStr">
        <is>
          <t>070-CAD</t>
        </is>
      </c>
      <c r="D72" s="12" t="n">
        <v>1155427.6</v>
      </c>
      <c r="E72" s="2" t="n">
        <v>45904</v>
      </c>
    </row>
    <row r="73">
      <c r="B73" s="1" t="n">
        <v>14</v>
      </c>
      <c r="C73" s="1" t="inlineStr">
        <is>
          <t>071-CAD</t>
        </is>
      </c>
      <c r="D73" s="12" t="n">
        <v>600361.76</v>
      </c>
      <c r="E73" s="2" t="n">
        <v>45904</v>
      </c>
    </row>
    <row r="74">
      <c r="B74" s="1" t="n">
        <v>18</v>
      </c>
      <c r="C74" s="1" t="inlineStr">
        <is>
          <t>072-CAD</t>
        </is>
      </c>
      <c r="D74" s="12" t="n">
        <v>1313605.06</v>
      </c>
      <c r="E74" s="2" t="n">
        <v>45851</v>
      </c>
    </row>
    <row r="75">
      <c r="B75" s="1" t="n">
        <v>20</v>
      </c>
      <c r="C75" s="1" t="inlineStr">
        <is>
          <t>073-SAF</t>
        </is>
      </c>
      <c r="D75" s="12" t="n">
        <v>1074560.65</v>
      </c>
      <c r="E75" s="2" t="n">
        <v>45851</v>
      </c>
    </row>
    <row r="76">
      <c r="B76" s="1" t="n">
        <v>24</v>
      </c>
      <c r="C76" s="1" t="inlineStr">
        <is>
          <t>074-CAD</t>
        </is>
      </c>
      <c r="D76" s="12" t="n">
        <v>1180680.25</v>
      </c>
      <c r="E76" s="2" t="n">
        <v>45945</v>
      </c>
    </row>
    <row r="77">
      <c r="B77" s="1" t="n">
        <v>18</v>
      </c>
      <c r="C77" s="1" t="inlineStr">
        <is>
          <t>075-CAD</t>
        </is>
      </c>
      <c r="D77" s="12" t="n">
        <v>654979.1</v>
      </c>
      <c r="E77" s="2" t="n">
        <v>45964</v>
      </c>
    </row>
    <row r="78">
      <c r="B78" s="1" t="n">
        <v>12</v>
      </c>
      <c r="C78" s="1" t="inlineStr">
        <is>
          <t>076-SAF</t>
        </is>
      </c>
      <c r="D78" s="12" t="n">
        <v>1658746.75</v>
      </c>
      <c r="E78" s="2" t="n">
        <v>45712</v>
      </c>
    </row>
    <row r="79">
      <c r="B79" s="1" t="n">
        <v>13</v>
      </c>
      <c r="C79" s="1" t="inlineStr">
        <is>
          <t>077-CAD</t>
        </is>
      </c>
      <c r="D79" s="12" t="n">
        <v>1159455.05</v>
      </c>
      <c r="E79" s="2" t="n">
        <v>45755</v>
      </c>
    </row>
    <row r="80">
      <c r="B80" s="1" t="n">
        <v>23</v>
      </c>
      <c r="C80" s="1" t="inlineStr">
        <is>
          <t>078-SAF</t>
        </is>
      </c>
      <c r="D80" s="12" t="n">
        <v>252904.85</v>
      </c>
      <c r="E80" s="2" t="n">
        <v>45765</v>
      </c>
    </row>
    <row r="81">
      <c r="B81" s="1" t="n">
        <v>8</v>
      </c>
      <c r="C81" s="1" t="inlineStr">
        <is>
          <t>079-SAF</t>
        </is>
      </c>
      <c r="D81" s="12" t="n">
        <v>513407.8</v>
      </c>
      <c r="E81" s="2" t="n">
        <v>45722</v>
      </c>
    </row>
    <row r="82">
      <c r="B82" s="1" t="n">
        <v>2</v>
      </c>
      <c r="C82" s="1" t="inlineStr">
        <is>
          <t>080-SAF</t>
        </is>
      </c>
      <c r="D82" s="12" t="n">
        <v>1549494.02</v>
      </c>
      <c r="E82" s="2" t="n">
        <v>45934</v>
      </c>
    </row>
    <row r="83">
      <c r="B83" s="1" t="n">
        <v>13</v>
      </c>
      <c r="C83" s="1" t="inlineStr">
        <is>
          <t>081-CAD</t>
        </is>
      </c>
      <c r="D83" s="12" t="n">
        <v>1938316.84</v>
      </c>
      <c r="E83" s="2" t="n">
        <v>45881</v>
      </c>
    </row>
    <row r="84">
      <c r="B84" s="1" t="n">
        <v>18</v>
      </c>
      <c r="C84" s="1" t="inlineStr">
        <is>
          <t>082-SAF</t>
        </is>
      </c>
      <c r="D84" s="12" t="n">
        <v>1914500.06</v>
      </c>
      <c r="E84" s="2" t="n">
        <v>45953</v>
      </c>
    </row>
    <row r="85">
      <c r="B85" s="1" t="n">
        <v>4</v>
      </c>
      <c r="C85" s="1" t="inlineStr">
        <is>
          <t>083-SAF</t>
        </is>
      </c>
      <c r="D85" s="12" t="n">
        <v>1421081.7</v>
      </c>
      <c r="E85" s="2" t="n">
        <v>45694</v>
      </c>
    </row>
    <row r="86">
      <c r="B86" s="1" t="n">
        <v>12</v>
      </c>
      <c r="C86" s="1" t="inlineStr">
        <is>
          <t>084-SAF</t>
        </is>
      </c>
      <c r="D86" s="12" t="n">
        <v>1287602.3</v>
      </c>
      <c r="E86" s="2" t="n">
        <v>45863</v>
      </c>
    </row>
    <row r="87">
      <c r="B87" s="1" t="n">
        <v>21</v>
      </c>
      <c r="C87" s="1" t="inlineStr">
        <is>
          <t>085-SAF</t>
        </is>
      </c>
      <c r="D87" s="12" t="n">
        <v>1017341.55</v>
      </c>
      <c r="E87" s="2" t="n">
        <v>45724</v>
      </c>
    </row>
    <row r="88">
      <c r="B88" s="1" t="n">
        <v>1</v>
      </c>
      <c r="C88" s="1" t="inlineStr">
        <is>
          <t>086-CAD</t>
        </is>
      </c>
      <c r="D88" s="12" t="n">
        <v>25775.43</v>
      </c>
      <c r="E88" s="2" t="n">
        <v>45831</v>
      </c>
    </row>
    <row r="89">
      <c r="B89" s="1" t="n">
        <v>19</v>
      </c>
      <c r="C89" s="1" t="inlineStr">
        <is>
          <t>087-CAD</t>
        </is>
      </c>
      <c r="D89" s="12" t="n">
        <v>1072903.07</v>
      </c>
      <c r="E89" s="2" t="n">
        <v>45668</v>
      </c>
    </row>
    <row r="90">
      <c r="B90" s="1" t="n">
        <v>2</v>
      </c>
      <c r="C90" s="1" t="inlineStr">
        <is>
          <t>088-CAD</t>
        </is>
      </c>
      <c r="D90" s="12" t="n">
        <v>1564439.51</v>
      </c>
      <c r="E90" s="2" t="n">
        <v>45691</v>
      </c>
    </row>
    <row r="91">
      <c r="B91" s="1" t="n">
        <v>14</v>
      </c>
      <c r="C91" s="1" t="inlineStr">
        <is>
          <t>089-CAD</t>
        </is>
      </c>
      <c r="D91" s="12" t="n">
        <v>787159.03</v>
      </c>
      <c r="E91" s="2" t="n">
        <v>45734</v>
      </c>
    </row>
    <row r="92">
      <c r="B92" s="1" t="n">
        <v>16</v>
      </c>
      <c r="C92" s="1" t="inlineStr">
        <is>
          <t>090-CAD</t>
        </is>
      </c>
      <c r="D92" s="12" t="n">
        <v>606807.5600000001</v>
      </c>
      <c r="E92" s="2" t="n">
        <v>45950</v>
      </c>
    </row>
    <row r="93">
      <c r="B93" s="1" t="n">
        <v>11</v>
      </c>
      <c r="C93" s="1" t="inlineStr">
        <is>
          <t>091-CAD</t>
        </is>
      </c>
      <c r="D93" s="12" t="n">
        <v>1372755.3</v>
      </c>
      <c r="E93" s="2" t="n">
        <v>45748</v>
      </c>
    </row>
    <row r="94">
      <c r="B94" s="1" t="n">
        <v>13</v>
      </c>
      <c r="C94" s="1" t="inlineStr">
        <is>
          <t>092-SAF</t>
        </is>
      </c>
      <c r="D94" s="12" t="n">
        <v>341671.05</v>
      </c>
      <c r="E94" s="2" t="n">
        <v>45661</v>
      </c>
    </row>
    <row r="95">
      <c r="B95" s="1" t="n">
        <v>7</v>
      </c>
      <c r="C95" s="1" t="inlineStr">
        <is>
          <t>093-CAD</t>
        </is>
      </c>
      <c r="D95" s="12" t="n">
        <v>1892708.29</v>
      </c>
      <c r="E95" s="2" t="n">
        <v>45938</v>
      </c>
    </row>
    <row r="96">
      <c r="B96" s="1" t="n">
        <v>18</v>
      </c>
      <c r="C96" s="1" t="inlineStr">
        <is>
          <t>094-SAF</t>
        </is>
      </c>
      <c r="D96" s="12" t="n">
        <v>1795271.25</v>
      </c>
      <c r="E96" s="2" t="n">
        <v>45910</v>
      </c>
    </row>
    <row r="97">
      <c r="B97" s="1" t="n">
        <v>14</v>
      </c>
      <c r="C97" s="1" t="inlineStr">
        <is>
          <t>095-SAF</t>
        </is>
      </c>
      <c r="D97" s="12" t="n">
        <v>1529738.71</v>
      </c>
      <c r="E97" s="2" t="n">
        <v>46014</v>
      </c>
    </row>
    <row r="98">
      <c r="B98" s="1" t="n">
        <v>19</v>
      </c>
      <c r="C98" s="1" t="inlineStr">
        <is>
          <t>096-CAD</t>
        </is>
      </c>
      <c r="D98" s="12" t="n">
        <v>1966556.1</v>
      </c>
      <c r="E98" s="2" t="n">
        <v>45662</v>
      </c>
    </row>
    <row r="99">
      <c r="B99" s="1" t="n">
        <v>4</v>
      </c>
      <c r="C99" s="1" t="inlineStr">
        <is>
          <t>097-SAF</t>
        </is>
      </c>
      <c r="D99" s="12" t="n">
        <v>493203.59</v>
      </c>
      <c r="E99" s="2" t="n">
        <v>45674</v>
      </c>
    </row>
    <row r="100">
      <c r="B100" s="1" t="n">
        <v>9</v>
      </c>
      <c r="C100" s="1" t="inlineStr">
        <is>
          <t>098-SAF</t>
        </is>
      </c>
      <c r="D100" s="12" t="n">
        <v>1422451.35</v>
      </c>
      <c r="E100" s="2" t="n">
        <v>45921</v>
      </c>
    </row>
    <row r="101">
      <c r="B101" s="1" t="n">
        <v>16</v>
      </c>
      <c r="C101" s="1" t="inlineStr">
        <is>
          <t>099-CAD</t>
        </is>
      </c>
      <c r="D101" s="12" t="n">
        <v>1012269.6</v>
      </c>
      <c r="E101" s="2" t="n">
        <v>45748</v>
      </c>
    </row>
    <row r="102">
      <c r="B102" s="1" t="n">
        <v>24</v>
      </c>
      <c r="C102" s="1" t="inlineStr">
        <is>
          <t>100-SAF</t>
        </is>
      </c>
      <c r="D102" s="12" t="n">
        <v>1622191.38</v>
      </c>
      <c r="E102" s="2" t="n">
        <v>46002</v>
      </c>
    </row>
    <row r="103">
      <c r="B103" s="1" t="n">
        <v>18</v>
      </c>
      <c r="C103" s="1" t="inlineStr">
        <is>
          <t>101-SAF</t>
        </is>
      </c>
      <c r="D103" s="12" t="n">
        <v>1499181.94</v>
      </c>
      <c r="E103" s="2" t="n">
        <v>45915</v>
      </c>
    </row>
    <row r="104">
      <c r="B104" s="1" t="n">
        <v>22</v>
      </c>
      <c r="C104" s="1" t="inlineStr">
        <is>
          <t>102-SAF</t>
        </is>
      </c>
      <c r="D104" s="12" t="n">
        <v>1927930.62</v>
      </c>
      <c r="E104" s="2" t="n">
        <v>45709</v>
      </c>
    </row>
    <row r="105">
      <c r="B105" s="1" t="n">
        <v>22</v>
      </c>
      <c r="C105" s="1" t="inlineStr">
        <is>
          <t>103-CAD</t>
        </is>
      </c>
      <c r="D105" s="12" t="n">
        <v>1370537.89</v>
      </c>
      <c r="E105" s="2" t="n">
        <v>45751</v>
      </c>
    </row>
    <row r="106">
      <c r="B106" s="1" t="n">
        <v>15</v>
      </c>
      <c r="C106" s="1" t="inlineStr">
        <is>
          <t>104-CAD</t>
        </is>
      </c>
      <c r="D106" s="12" t="n">
        <v>158960.6</v>
      </c>
      <c r="E106" s="2" t="n">
        <v>45798</v>
      </c>
    </row>
    <row r="107">
      <c r="B107" s="1" t="n">
        <v>4</v>
      </c>
      <c r="C107" s="1" t="inlineStr">
        <is>
          <t>105-SAF</t>
        </is>
      </c>
      <c r="D107" s="12" t="n">
        <v>426122.74</v>
      </c>
      <c r="E107" s="2" t="n">
        <v>45768</v>
      </c>
    </row>
    <row r="108">
      <c r="B108" s="1" t="n">
        <v>14</v>
      </c>
      <c r="C108" s="1" t="inlineStr">
        <is>
          <t>106-CAD</t>
        </is>
      </c>
      <c r="D108" s="12" t="n">
        <v>1096597.45</v>
      </c>
      <c r="E108" s="2" t="n">
        <v>45662</v>
      </c>
    </row>
    <row r="109">
      <c r="B109" s="1" t="n">
        <v>7</v>
      </c>
      <c r="C109" s="1" t="inlineStr">
        <is>
          <t>107-CAD</t>
        </is>
      </c>
      <c r="D109" s="12" t="n">
        <v>923533.92</v>
      </c>
      <c r="E109" s="2" t="n">
        <v>45937</v>
      </c>
    </row>
    <row r="110">
      <c r="B110" s="1" t="n">
        <v>10</v>
      </c>
      <c r="C110" s="1" t="inlineStr">
        <is>
          <t>108-SAF</t>
        </is>
      </c>
      <c r="D110" s="12" t="n">
        <v>1895964.27</v>
      </c>
      <c r="E110" s="2" t="n">
        <v>45913</v>
      </c>
    </row>
    <row r="111">
      <c r="B111" s="1" t="n">
        <v>16</v>
      </c>
      <c r="C111" s="1" t="inlineStr">
        <is>
          <t>109-SAF</t>
        </is>
      </c>
      <c r="D111" s="12" t="n">
        <v>1985039.06</v>
      </c>
      <c r="E111" s="2" t="n">
        <v>45940</v>
      </c>
    </row>
    <row r="112">
      <c r="B112" s="1" t="n">
        <v>13</v>
      </c>
      <c r="C112" s="1" t="inlineStr">
        <is>
          <t>110-CAD</t>
        </is>
      </c>
      <c r="D112" s="12" t="n">
        <v>1245320.84</v>
      </c>
      <c r="E112" s="2" t="n">
        <v>45799</v>
      </c>
    </row>
    <row r="113">
      <c r="B113" s="1" t="n">
        <v>14</v>
      </c>
      <c r="C113" s="1" t="inlineStr">
        <is>
          <t>111-SAF</t>
        </is>
      </c>
      <c r="D113" s="12" t="n">
        <v>21044.21</v>
      </c>
      <c r="E113" s="2" t="n">
        <v>45879</v>
      </c>
    </row>
    <row r="114">
      <c r="B114" s="1" t="n">
        <v>5</v>
      </c>
      <c r="C114" s="1" t="inlineStr">
        <is>
          <t>112-SAF</t>
        </is>
      </c>
      <c r="D114" s="12" t="n">
        <v>324164.11</v>
      </c>
      <c r="E114" s="2" t="n">
        <v>45965</v>
      </c>
    </row>
    <row r="115">
      <c r="B115" s="1" t="n">
        <v>16</v>
      </c>
      <c r="C115" s="1" t="inlineStr">
        <is>
          <t>113-SAF</t>
        </is>
      </c>
      <c r="D115" s="12" t="n">
        <v>697781.38</v>
      </c>
      <c r="E115" s="2" t="n">
        <v>45762</v>
      </c>
    </row>
    <row r="116">
      <c r="B116" s="1" t="n">
        <v>4</v>
      </c>
      <c r="C116" s="1" t="inlineStr">
        <is>
          <t>114-SAF</t>
        </is>
      </c>
      <c r="D116" s="12" t="n">
        <v>1554172.59</v>
      </c>
      <c r="E116" s="2" t="n">
        <v>45710</v>
      </c>
    </row>
    <row r="117">
      <c r="B117" s="1" t="n">
        <v>20</v>
      </c>
      <c r="C117" s="1" t="inlineStr">
        <is>
          <t>115-SAF</t>
        </is>
      </c>
      <c r="D117" s="12" t="n">
        <v>1530362.29</v>
      </c>
      <c r="E117" s="2" t="n">
        <v>45825</v>
      </c>
    </row>
    <row r="118">
      <c r="B118" s="1" t="n">
        <v>4</v>
      </c>
      <c r="C118" s="1" t="inlineStr">
        <is>
          <t>116-SAF</t>
        </is>
      </c>
      <c r="D118" s="12" t="n">
        <v>1051957.48</v>
      </c>
      <c r="E118" s="2" t="n">
        <v>45680</v>
      </c>
    </row>
    <row r="119">
      <c r="B119" s="1" t="n">
        <v>4</v>
      </c>
      <c r="C119" s="1" t="inlineStr">
        <is>
          <t>117-SAF</t>
        </is>
      </c>
      <c r="D119" s="12" t="n">
        <v>535815.47</v>
      </c>
      <c r="E119" s="2" t="n">
        <v>45723</v>
      </c>
    </row>
    <row r="120">
      <c r="B120" s="1" t="n">
        <v>17</v>
      </c>
      <c r="C120" s="1" t="inlineStr">
        <is>
          <t>118-SAF</t>
        </is>
      </c>
      <c r="D120" s="12" t="n">
        <v>320858.5</v>
      </c>
      <c r="E120" s="2" t="n">
        <v>45703</v>
      </c>
    </row>
    <row r="121">
      <c r="B121" s="1" t="n">
        <v>3</v>
      </c>
      <c r="C121" s="1" t="inlineStr">
        <is>
          <t>119-CAD</t>
        </is>
      </c>
      <c r="D121" s="12" t="n">
        <v>838964.23</v>
      </c>
      <c r="E121" s="2" t="n">
        <v>45661</v>
      </c>
    </row>
    <row r="122">
      <c r="B122" s="1" t="n">
        <v>9</v>
      </c>
      <c r="C122" s="1" t="inlineStr">
        <is>
          <t>120-SAF</t>
        </is>
      </c>
      <c r="D122" s="12" t="n">
        <v>1509723.79</v>
      </c>
      <c r="E122" s="2" t="n">
        <v>45713</v>
      </c>
    </row>
    <row r="123">
      <c r="B123" s="1" t="n">
        <v>17</v>
      </c>
      <c r="C123" s="1" t="inlineStr">
        <is>
          <t>121-CAD</t>
        </is>
      </c>
      <c r="D123" s="12" t="n">
        <v>1835424.82</v>
      </c>
      <c r="E123" s="2" t="n">
        <v>45843</v>
      </c>
    </row>
    <row r="124">
      <c r="B124" s="1" t="n">
        <v>15</v>
      </c>
      <c r="C124" s="1" t="inlineStr">
        <is>
          <t>122-CAD</t>
        </is>
      </c>
      <c r="D124" s="12" t="n">
        <v>381928.39</v>
      </c>
      <c r="E124" s="2" t="n">
        <v>45680</v>
      </c>
    </row>
    <row r="125">
      <c r="B125" s="1" t="n">
        <v>11</v>
      </c>
      <c r="C125" s="1" t="inlineStr">
        <is>
          <t>123-SAF</t>
        </is>
      </c>
      <c r="D125" s="12" t="n">
        <v>630314.91</v>
      </c>
      <c r="E125" s="2" t="n">
        <v>45902</v>
      </c>
    </row>
    <row r="126">
      <c r="B126" s="1" t="n">
        <v>17</v>
      </c>
      <c r="C126" s="1" t="inlineStr">
        <is>
          <t>124-CAD</t>
        </is>
      </c>
      <c r="D126" s="12" t="n">
        <v>190835.73</v>
      </c>
      <c r="E126" s="2" t="n">
        <v>45770</v>
      </c>
    </row>
    <row r="127">
      <c r="B127" s="1" t="n">
        <v>2</v>
      </c>
      <c r="C127" s="1" t="inlineStr">
        <is>
          <t>125-CAD</t>
        </is>
      </c>
      <c r="D127" s="12" t="n">
        <v>1872792.66</v>
      </c>
      <c r="E127" s="2" t="n">
        <v>45934</v>
      </c>
    </row>
    <row r="128">
      <c r="B128" s="1" t="n">
        <v>10</v>
      </c>
      <c r="C128" s="1" t="inlineStr">
        <is>
          <t>126-SAF</t>
        </is>
      </c>
      <c r="D128" s="12" t="n">
        <v>1220962.22</v>
      </c>
      <c r="E128" s="2" t="n">
        <v>45758</v>
      </c>
    </row>
    <row r="129">
      <c r="B129" s="1" t="n">
        <v>12</v>
      </c>
      <c r="C129" s="1" t="inlineStr">
        <is>
          <t>127-CAD</t>
        </is>
      </c>
      <c r="D129" s="12" t="n">
        <v>580595.54</v>
      </c>
      <c r="E129" s="2" t="n">
        <v>45771</v>
      </c>
    </row>
    <row r="130">
      <c r="B130" s="1" t="n">
        <v>4</v>
      </c>
      <c r="C130" s="1" t="inlineStr">
        <is>
          <t>128-CAD</t>
        </is>
      </c>
      <c r="D130" s="12" t="n">
        <v>151316.95</v>
      </c>
      <c r="E130" s="2" t="n">
        <v>45752</v>
      </c>
    </row>
    <row r="131">
      <c r="B131" s="1" t="n">
        <v>20</v>
      </c>
      <c r="C131" s="1" t="inlineStr">
        <is>
          <t>129-CAD</t>
        </is>
      </c>
      <c r="D131" s="12" t="n">
        <v>1564033.33</v>
      </c>
      <c r="E131" s="2" t="n">
        <v>45770</v>
      </c>
    </row>
    <row r="132">
      <c r="B132" s="1" t="n">
        <v>16</v>
      </c>
      <c r="C132" s="1" t="inlineStr">
        <is>
          <t>130-CAD</t>
        </is>
      </c>
      <c r="D132" s="12" t="n">
        <v>741998.96</v>
      </c>
      <c r="E132" s="2" t="n">
        <v>45730</v>
      </c>
    </row>
    <row r="133">
      <c r="B133" s="1" t="n">
        <v>4</v>
      </c>
      <c r="C133" s="1" t="inlineStr">
        <is>
          <t>131-CAD</t>
        </is>
      </c>
      <c r="D133" s="12" t="n">
        <v>740971.7</v>
      </c>
      <c r="E133" s="2" t="n">
        <v>45890</v>
      </c>
    </row>
    <row r="134">
      <c r="B134" s="1" t="n">
        <v>23</v>
      </c>
      <c r="C134" s="1" t="inlineStr">
        <is>
          <t>132-CAD</t>
        </is>
      </c>
      <c r="D134" s="12" t="n">
        <v>757792.92</v>
      </c>
      <c r="E134" s="2" t="n">
        <v>45827</v>
      </c>
    </row>
    <row r="135">
      <c r="B135" s="1" t="n">
        <v>5</v>
      </c>
      <c r="C135" s="1" t="inlineStr">
        <is>
          <t>133-CAD</t>
        </is>
      </c>
      <c r="D135" s="12" t="n">
        <v>1174510.41</v>
      </c>
      <c r="E135" s="2" t="n">
        <v>45953</v>
      </c>
    </row>
    <row r="136">
      <c r="B136" s="1" t="n">
        <v>20</v>
      </c>
      <c r="C136" s="1" t="inlineStr">
        <is>
          <t>134-CAD</t>
        </is>
      </c>
      <c r="D136" s="12" t="n">
        <v>387823.86</v>
      </c>
      <c r="E136" s="2" t="n">
        <v>45889</v>
      </c>
    </row>
    <row r="137">
      <c r="B137" s="1" t="n">
        <v>18</v>
      </c>
      <c r="C137" s="1" t="inlineStr">
        <is>
          <t>135-SAF</t>
        </is>
      </c>
      <c r="D137" s="12" t="n">
        <v>1422065.09</v>
      </c>
      <c r="E137" s="2" t="n">
        <v>45711</v>
      </c>
    </row>
    <row r="138">
      <c r="B138" s="1" t="n">
        <v>20</v>
      </c>
      <c r="C138" s="1" t="inlineStr">
        <is>
          <t>136-CAD</t>
        </is>
      </c>
      <c r="D138" s="12" t="n">
        <v>436130.68</v>
      </c>
      <c r="E138" s="2" t="n">
        <v>45689</v>
      </c>
    </row>
    <row r="139">
      <c r="B139" s="1" t="n">
        <v>24</v>
      </c>
      <c r="C139" s="1" t="inlineStr">
        <is>
          <t>137-CAD</t>
        </is>
      </c>
      <c r="D139" s="12" t="n">
        <v>384260.9</v>
      </c>
      <c r="E139" s="2" t="n">
        <v>46013</v>
      </c>
    </row>
    <row r="140">
      <c r="B140" s="1" t="n">
        <v>24</v>
      </c>
      <c r="C140" s="1" t="inlineStr">
        <is>
          <t>138-SAF</t>
        </is>
      </c>
      <c r="D140" s="12" t="n">
        <v>824936.62</v>
      </c>
      <c r="E140" s="2" t="n">
        <v>45670</v>
      </c>
    </row>
    <row r="141">
      <c r="B141" s="1" t="n">
        <v>10</v>
      </c>
      <c r="C141" s="1" t="inlineStr">
        <is>
          <t>139-SAF</t>
        </is>
      </c>
      <c r="D141" s="12" t="n">
        <v>352734.31</v>
      </c>
      <c r="E141" s="2" t="n">
        <v>45781</v>
      </c>
    </row>
    <row r="142">
      <c r="B142" s="1" t="n">
        <v>2</v>
      </c>
      <c r="C142" s="1" t="inlineStr">
        <is>
          <t>140-SAF</t>
        </is>
      </c>
      <c r="D142" s="12" t="n">
        <v>1248735.34</v>
      </c>
      <c r="E142" s="2" t="n">
        <v>45862</v>
      </c>
    </row>
    <row r="143">
      <c r="B143" s="1" t="n">
        <v>5</v>
      </c>
      <c r="C143" s="1" t="inlineStr">
        <is>
          <t>141-CAD</t>
        </is>
      </c>
      <c r="D143" s="12" t="n">
        <v>27489.11</v>
      </c>
      <c r="E143" s="2" t="n">
        <v>45671</v>
      </c>
    </row>
    <row r="144">
      <c r="B144" s="1" t="n">
        <v>17</v>
      </c>
      <c r="C144" s="1" t="inlineStr">
        <is>
          <t>142-CAD</t>
        </is>
      </c>
      <c r="D144" s="12" t="n">
        <v>490047.08</v>
      </c>
      <c r="E144" s="2" t="n">
        <v>45850</v>
      </c>
    </row>
    <row r="145">
      <c r="B145" s="1" t="n">
        <v>2</v>
      </c>
      <c r="C145" s="1" t="inlineStr">
        <is>
          <t>143-CAD</t>
        </is>
      </c>
      <c r="D145" s="12" t="n">
        <v>1648887.18</v>
      </c>
      <c r="E145" s="2" t="n">
        <v>46009</v>
      </c>
    </row>
    <row r="146">
      <c r="B146" s="1" t="n">
        <v>3</v>
      </c>
      <c r="C146" s="1" t="inlineStr">
        <is>
          <t>144-SAF</t>
        </is>
      </c>
      <c r="D146" s="12" t="n">
        <v>1029147.23</v>
      </c>
      <c r="E146" s="2" t="n">
        <v>45788</v>
      </c>
    </row>
    <row r="147">
      <c r="B147" s="1" t="n">
        <v>15</v>
      </c>
      <c r="C147" s="1" t="inlineStr">
        <is>
          <t>145-SAF</t>
        </is>
      </c>
      <c r="D147" s="12" t="n">
        <v>710922.15</v>
      </c>
      <c r="E147" s="2" t="n">
        <v>45792</v>
      </c>
    </row>
    <row r="148">
      <c r="B148" s="1" t="n">
        <v>6</v>
      </c>
      <c r="C148" s="1" t="inlineStr">
        <is>
          <t>146-CAD</t>
        </is>
      </c>
      <c r="D148" s="12" t="n">
        <v>670608.86</v>
      </c>
      <c r="E148" s="2" t="n">
        <v>45810</v>
      </c>
    </row>
    <row r="149">
      <c r="B149" s="1" t="n">
        <v>24</v>
      </c>
      <c r="C149" s="1" t="inlineStr">
        <is>
          <t>147-CAD</t>
        </is>
      </c>
      <c r="D149" s="12" t="n">
        <v>60126.61</v>
      </c>
      <c r="E149" s="2" t="n">
        <v>45893</v>
      </c>
    </row>
    <row r="150">
      <c r="B150" s="1" t="n">
        <v>24</v>
      </c>
      <c r="C150" s="1" t="inlineStr">
        <is>
          <t>148-SAF</t>
        </is>
      </c>
      <c r="D150" s="12" t="n">
        <v>1160960.99</v>
      </c>
      <c r="E150" s="2" t="n">
        <v>45730</v>
      </c>
    </row>
    <row r="151">
      <c r="B151" s="1" t="n">
        <v>3</v>
      </c>
      <c r="C151" s="1" t="inlineStr">
        <is>
          <t>149-CAD</t>
        </is>
      </c>
      <c r="D151" s="12" t="n">
        <v>805972.77</v>
      </c>
      <c r="E151" s="2" t="n">
        <v>45950</v>
      </c>
    </row>
    <row r="152">
      <c r="B152" s="1" t="n">
        <v>7</v>
      </c>
      <c r="C152" s="1" t="inlineStr">
        <is>
          <t>150-SAF</t>
        </is>
      </c>
      <c r="D152" s="12" t="n">
        <v>885075.92</v>
      </c>
      <c r="E152" s="2" t="n">
        <v>45844</v>
      </c>
    </row>
    <row r="153">
      <c r="B153" s="1" t="n">
        <v>7</v>
      </c>
      <c r="C153" s="1" t="inlineStr">
        <is>
          <t>151-CAD</t>
        </is>
      </c>
      <c r="D153" s="12" t="n">
        <v>1673808.61</v>
      </c>
      <c r="E153" s="2" t="n">
        <v>46015</v>
      </c>
    </row>
    <row r="154">
      <c r="B154" s="1" t="n">
        <v>11</v>
      </c>
      <c r="C154" s="1" t="inlineStr">
        <is>
          <t>152-SAF</t>
        </is>
      </c>
      <c r="D154" s="12" t="n">
        <v>1508239.26</v>
      </c>
      <c r="E154" s="2" t="n">
        <v>45724</v>
      </c>
    </row>
    <row r="155">
      <c r="B155" s="1" t="n">
        <v>8</v>
      </c>
      <c r="C155" s="1" t="inlineStr">
        <is>
          <t>153-CAD</t>
        </is>
      </c>
      <c r="D155" s="12" t="n">
        <v>1878050.42</v>
      </c>
      <c r="E155" s="2" t="n">
        <v>45749</v>
      </c>
    </row>
    <row r="156">
      <c r="B156" s="1" t="n">
        <v>21</v>
      </c>
      <c r="C156" s="1" t="inlineStr">
        <is>
          <t>154-SAF</t>
        </is>
      </c>
      <c r="D156" s="12" t="n">
        <v>1337306.71</v>
      </c>
      <c r="E156" s="2" t="n">
        <v>45974</v>
      </c>
    </row>
    <row r="157">
      <c r="B157" s="1" t="n">
        <v>4</v>
      </c>
      <c r="C157" s="1" t="inlineStr">
        <is>
          <t>155-SAF</t>
        </is>
      </c>
      <c r="D157" s="12" t="n">
        <v>404932.71</v>
      </c>
      <c r="E157" s="2" t="n">
        <v>45923</v>
      </c>
    </row>
    <row r="158">
      <c r="B158" s="1" t="n">
        <v>24</v>
      </c>
      <c r="C158" s="1" t="inlineStr">
        <is>
          <t>156-SAF</t>
        </is>
      </c>
      <c r="D158" s="12" t="n">
        <v>628064.11</v>
      </c>
      <c r="E158" s="2" t="n">
        <v>45723</v>
      </c>
    </row>
    <row r="159">
      <c r="B159" s="1" t="n">
        <v>11</v>
      </c>
      <c r="C159" s="1" t="inlineStr">
        <is>
          <t>157-SAF</t>
        </is>
      </c>
      <c r="D159" s="12" t="n">
        <v>1172129.28</v>
      </c>
      <c r="E159" s="2" t="n">
        <v>45674</v>
      </c>
    </row>
    <row r="160">
      <c r="B160" s="1" t="n">
        <v>13</v>
      </c>
      <c r="C160" s="1" t="inlineStr">
        <is>
          <t>158-SAF</t>
        </is>
      </c>
      <c r="D160" s="12" t="n">
        <v>940765.65</v>
      </c>
      <c r="E160" s="2" t="n">
        <v>45933</v>
      </c>
    </row>
    <row r="161">
      <c r="B161" s="1" t="n">
        <v>16</v>
      </c>
      <c r="C161" s="1" t="inlineStr">
        <is>
          <t>159-CAD</t>
        </is>
      </c>
      <c r="D161" s="12" t="n">
        <v>116079.53</v>
      </c>
      <c r="E161" s="2" t="n">
        <v>45891</v>
      </c>
    </row>
    <row r="162">
      <c r="B162" s="1" t="n">
        <v>10</v>
      </c>
      <c r="C162" s="1" t="inlineStr">
        <is>
          <t>160-SAF</t>
        </is>
      </c>
      <c r="D162" s="12" t="n">
        <v>1411064.74</v>
      </c>
      <c r="E162" s="2" t="n">
        <v>45796</v>
      </c>
    </row>
    <row r="163">
      <c r="B163" s="1" t="n">
        <v>1</v>
      </c>
      <c r="C163" s="1" t="inlineStr">
        <is>
          <t>161-SAF</t>
        </is>
      </c>
      <c r="D163" s="12" t="n">
        <v>1523630.37</v>
      </c>
      <c r="E163" s="2" t="n">
        <v>45768</v>
      </c>
    </row>
    <row r="164">
      <c r="B164" s="1" t="n">
        <v>18</v>
      </c>
      <c r="C164" s="1" t="inlineStr">
        <is>
          <t>162-CAD</t>
        </is>
      </c>
      <c r="D164" s="12" t="n">
        <v>198540.72</v>
      </c>
      <c r="E164" s="2" t="n">
        <v>45749</v>
      </c>
    </row>
    <row r="165">
      <c r="B165" s="1" t="n">
        <v>1</v>
      </c>
      <c r="C165" s="1" t="inlineStr">
        <is>
          <t>163-CAD</t>
        </is>
      </c>
      <c r="D165" s="12" t="n">
        <v>75294.08</v>
      </c>
      <c r="E165" s="2" t="n">
        <v>45784</v>
      </c>
    </row>
    <row r="166">
      <c r="B166" s="1" t="n">
        <v>17</v>
      </c>
      <c r="C166" s="1" t="inlineStr">
        <is>
          <t>164-CAD</t>
        </is>
      </c>
      <c r="D166" s="12" t="n">
        <v>614168.3199999999</v>
      </c>
      <c r="E166" s="2" t="n">
        <v>45827</v>
      </c>
    </row>
    <row r="167">
      <c r="B167" s="1" t="n">
        <v>12</v>
      </c>
      <c r="C167" s="1" t="inlineStr">
        <is>
          <t>165-CAD</t>
        </is>
      </c>
      <c r="D167" s="12" t="n">
        <v>889494.63</v>
      </c>
      <c r="E167" s="2" t="n">
        <v>45755</v>
      </c>
    </row>
    <row r="168">
      <c r="B168" s="1" t="n">
        <v>16</v>
      </c>
      <c r="C168" s="1" t="inlineStr">
        <is>
          <t>166-SAF</t>
        </is>
      </c>
      <c r="D168" s="12" t="n">
        <v>533621.24</v>
      </c>
      <c r="E168" s="2" t="n">
        <v>45939</v>
      </c>
    </row>
    <row r="169">
      <c r="B169" s="1" t="n">
        <v>23</v>
      </c>
      <c r="C169" s="1" t="inlineStr">
        <is>
          <t>167-SAF</t>
        </is>
      </c>
      <c r="D169" s="12" t="n">
        <v>1906062.67</v>
      </c>
      <c r="E169" s="2" t="n">
        <v>45727</v>
      </c>
    </row>
    <row r="170">
      <c r="B170" s="1" t="n">
        <v>21</v>
      </c>
      <c r="C170" s="1" t="inlineStr">
        <is>
          <t>168-SAF</t>
        </is>
      </c>
      <c r="D170" s="12" t="n">
        <v>250159.95</v>
      </c>
      <c r="E170" s="2" t="n">
        <v>45660</v>
      </c>
    </row>
    <row r="171">
      <c r="B171" s="1" t="n">
        <v>17</v>
      </c>
      <c r="C171" s="1" t="inlineStr">
        <is>
          <t>169-SAF</t>
        </is>
      </c>
      <c r="D171" s="12" t="n">
        <v>1532826.36</v>
      </c>
      <c r="E171" s="2" t="n">
        <v>45783</v>
      </c>
    </row>
    <row r="172">
      <c r="B172" s="1" t="n">
        <v>8</v>
      </c>
      <c r="C172" s="1" t="inlineStr">
        <is>
          <t>170-SAF</t>
        </is>
      </c>
      <c r="D172" s="12" t="n">
        <v>49294.59</v>
      </c>
      <c r="E172" s="2" t="n">
        <v>45950</v>
      </c>
    </row>
    <row r="173">
      <c r="B173" s="1" t="n">
        <v>11</v>
      </c>
      <c r="C173" s="1" t="inlineStr">
        <is>
          <t>171-SAF</t>
        </is>
      </c>
      <c r="D173" s="12" t="n">
        <v>211275.36</v>
      </c>
      <c r="E173" s="2" t="n">
        <v>45919</v>
      </c>
    </row>
    <row r="174">
      <c r="B174" s="1" t="n">
        <v>2</v>
      </c>
      <c r="C174" s="1" t="inlineStr">
        <is>
          <t>172-SAF</t>
        </is>
      </c>
      <c r="D174" s="12" t="n">
        <v>464794.73</v>
      </c>
      <c r="E174" s="2" t="n">
        <v>45913</v>
      </c>
    </row>
    <row r="175">
      <c r="B175" s="1" t="n">
        <v>22</v>
      </c>
      <c r="C175" s="1" t="inlineStr">
        <is>
          <t>173-CAD</t>
        </is>
      </c>
      <c r="D175" s="12" t="n">
        <v>1819371.08</v>
      </c>
      <c r="E175" s="2" t="n">
        <v>45753</v>
      </c>
    </row>
    <row r="176">
      <c r="B176" s="1" t="n">
        <v>20</v>
      </c>
      <c r="C176" s="1" t="inlineStr">
        <is>
          <t>174-SAF</t>
        </is>
      </c>
      <c r="D176" s="12" t="n">
        <v>1983205.66</v>
      </c>
      <c r="E176" s="2" t="n">
        <v>45979</v>
      </c>
    </row>
    <row r="177">
      <c r="B177" s="1" t="n">
        <v>11</v>
      </c>
      <c r="C177" s="1" t="inlineStr">
        <is>
          <t>175-SAF</t>
        </is>
      </c>
      <c r="D177" s="12" t="n">
        <v>129197.09</v>
      </c>
      <c r="E177" s="2" t="n">
        <v>45931</v>
      </c>
    </row>
    <row r="178">
      <c r="B178" s="1" t="n">
        <v>20</v>
      </c>
      <c r="C178" s="1" t="inlineStr">
        <is>
          <t>176-CAD</t>
        </is>
      </c>
      <c r="D178" s="12" t="n">
        <v>110985.69</v>
      </c>
      <c r="E178" s="2" t="n">
        <v>45757</v>
      </c>
    </row>
    <row r="179">
      <c r="B179" s="1" t="n">
        <v>1</v>
      </c>
      <c r="C179" s="1" t="inlineStr">
        <is>
          <t>177-CAD</t>
        </is>
      </c>
      <c r="D179" s="12" t="n">
        <v>1654920.21</v>
      </c>
      <c r="E179" s="2" t="n">
        <v>45839</v>
      </c>
    </row>
    <row r="180">
      <c r="B180" s="1" t="n">
        <v>12</v>
      </c>
      <c r="C180" s="1" t="inlineStr">
        <is>
          <t>178-CAD</t>
        </is>
      </c>
      <c r="D180" s="12" t="n">
        <v>1651722.28</v>
      </c>
      <c r="E180" s="2" t="n">
        <v>45826</v>
      </c>
    </row>
    <row r="181">
      <c r="B181" s="1" t="n">
        <v>10</v>
      </c>
      <c r="C181" s="1" t="inlineStr">
        <is>
          <t>179-SAF</t>
        </is>
      </c>
      <c r="D181" s="12" t="n">
        <v>139001.36</v>
      </c>
      <c r="E181" s="2" t="n">
        <v>45954</v>
      </c>
    </row>
    <row r="182">
      <c r="B182" s="1" t="n">
        <v>2</v>
      </c>
      <c r="C182" s="1" t="inlineStr">
        <is>
          <t>180-SAF</t>
        </is>
      </c>
      <c r="D182" s="12" t="n">
        <v>1390075.47</v>
      </c>
      <c r="E182" s="2" t="n">
        <v>45717</v>
      </c>
    </row>
    <row r="183">
      <c r="B183" s="1" t="n">
        <v>19</v>
      </c>
      <c r="C183" s="1" t="inlineStr">
        <is>
          <t>181-SAF</t>
        </is>
      </c>
      <c r="D183" s="12" t="n">
        <v>768714.78</v>
      </c>
      <c r="E183" s="2" t="n">
        <v>45973</v>
      </c>
    </row>
    <row r="184">
      <c r="B184" s="1" t="n">
        <v>3</v>
      </c>
      <c r="C184" s="1" t="inlineStr">
        <is>
          <t>182-CAD</t>
        </is>
      </c>
      <c r="D184" s="12" t="n">
        <v>340862.85</v>
      </c>
      <c r="E184" s="2" t="n">
        <v>45812</v>
      </c>
    </row>
    <row r="185">
      <c r="B185" s="1" t="n">
        <v>5</v>
      </c>
      <c r="C185" s="1" t="inlineStr">
        <is>
          <t>183-SAF</t>
        </is>
      </c>
      <c r="D185" s="12" t="n">
        <v>1458947.1</v>
      </c>
      <c r="E185" s="2" t="n">
        <v>45954</v>
      </c>
    </row>
    <row r="186">
      <c r="B186" s="1" t="n">
        <v>21</v>
      </c>
      <c r="C186" s="1" t="inlineStr">
        <is>
          <t>184-SAF</t>
        </is>
      </c>
      <c r="D186" s="12" t="n">
        <v>1750132.84</v>
      </c>
      <c r="E186" s="2" t="n">
        <v>45718</v>
      </c>
    </row>
    <row r="187">
      <c r="B187" s="1" t="n">
        <v>1</v>
      </c>
      <c r="C187" s="1" t="inlineStr">
        <is>
          <t>185-SAF</t>
        </is>
      </c>
      <c r="D187" s="12" t="n">
        <v>862926.41</v>
      </c>
      <c r="E187" s="2" t="n">
        <v>45949</v>
      </c>
    </row>
    <row r="188">
      <c r="B188" s="1" t="n">
        <v>13</v>
      </c>
      <c r="C188" s="1" t="inlineStr">
        <is>
          <t>186-CAD</t>
        </is>
      </c>
      <c r="D188" s="12" t="n">
        <v>383595.33</v>
      </c>
      <c r="E188" s="2" t="n">
        <v>45672</v>
      </c>
    </row>
    <row r="189">
      <c r="B189" s="1" t="n">
        <v>8</v>
      </c>
      <c r="C189" s="1" t="inlineStr">
        <is>
          <t>187-CAD</t>
        </is>
      </c>
      <c r="D189" s="12" t="n">
        <v>984722.03</v>
      </c>
      <c r="E189" s="2" t="n">
        <v>45711</v>
      </c>
    </row>
    <row r="190">
      <c r="B190" s="1" t="n">
        <v>17</v>
      </c>
      <c r="C190" s="1" t="inlineStr">
        <is>
          <t>188-CAD</t>
        </is>
      </c>
      <c r="D190" s="12" t="n">
        <v>300760.76</v>
      </c>
      <c r="E190" s="2" t="n">
        <v>45780</v>
      </c>
    </row>
    <row r="191">
      <c r="B191" s="1" t="n">
        <v>13</v>
      </c>
      <c r="C191" s="1" t="inlineStr">
        <is>
          <t>189-CAD</t>
        </is>
      </c>
      <c r="D191" s="12" t="n">
        <v>1618487.05</v>
      </c>
      <c r="E191" s="2" t="n">
        <v>45962</v>
      </c>
    </row>
    <row r="192">
      <c r="B192" s="1" t="n">
        <v>11</v>
      </c>
      <c r="C192" s="1" t="inlineStr">
        <is>
          <t>190-CAD</t>
        </is>
      </c>
      <c r="D192" s="12" t="n">
        <v>525801.67</v>
      </c>
      <c r="E192" s="2" t="n">
        <v>45949</v>
      </c>
    </row>
    <row r="193">
      <c r="B193" s="1" t="n">
        <v>20</v>
      </c>
      <c r="C193" s="1" t="inlineStr">
        <is>
          <t>191-CAD</t>
        </is>
      </c>
      <c r="D193" s="12" t="n">
        <v>1010486.96</v>
      </c>
      <c r="E193" s="2" t="n">
        <v>45843</v>
      </c>
    </row>
    <row r="194">
      <c r="B194" s="1" t="n">
        <v>11</v>
      </c>
      <c r="C194" s="1" t="inlineStr">
        <is>
          <t>192-SAF</t>
        </is>
      </c>
      <c r="D194" s="12" t="n">
        <v>835278.35</v>
      </c>
      <c r="E194" s="2" t="n">
        <v>45793</v>
      </c>
    </row>
    <row r="195">
      <c r="B195" s="1" t="n">
        <v>23</v>
      </c>
      <c r="C195" s="1" t="inlineStr">
        <is>
          <t>193-SAF</t>
        </is>
      </c>
      <c r="D195" s="12" t="n">
        <v>1499690.14</v>
      </c>
      <c r="E195" s="2" t="n">
        <v>45820</v>
      </c>
    </row>
    <row r="196">
      <c r="B196" s="1" t="n">
        <v>20</v>
      </c>
      <c r="C196" s="1" t="inlineStr">
        <is>
          <t>194-CAD</t>
        </is>
      </c>
      <c r="D196" s="12" t="n">
        <v>563192.36</v>
      </c>
      <c r="E196" s="2" t="n">
        <v>45859</v>
      </c>
    </row>
    <row r="197">
      <c r="B197" s="1" t="n">
        <v>10</v>
      </c>
      <c r="C197" s="1" t="inlineStr">
        <is>
          <t>195-SAF</t>
        </is>
      </c>
      <c r="D197" s="12" t="n">
        <v>1168198.69</v>
      </c>
      <c r="E197" s="2" t="n">
        <v>45931</v>
      </c>
    </row>
    <row r="198">
      <c r="B198" s="1" t="n">
        <v>6</v>
      </c>
      <c r="C198" s="1" t="inlineStr">
        <is>
          <t>196-CAD</t>
        </is>
      </c>
      <c r="D198" s="12" t="n">
        <v>1305890.84</v>
      </c>
      <c r="E198" s="2" t="n">
        <v>45946</v>
      </c>
    </row>
    <row r="199">
      <c r="B199" s="1" t="n">
        <v>2</v>
      </c>
      <c r="C199" s="1" t="inlineStr">
        <is>
          <t>197-SAF</t>
        </is>
      </c>
      <c r="D199" s="12" t="n">
        <v>1077473.26</v>
      </c>
      <c r="E199" s="2" t="n">
        <v>45833</v>
      </c>
    </row>
    <row r="200">
      <c r="B200" s="1" t="n">
        <v>7</v>
      </c>
      <c r="C200" s="1" t="inlineStr">
        <is>
          <t>198-CAD</t>
        </is>
      </c>
      <c r="D200" s="12" t="n">
        <v>887973.49</v>
      </c>
      <c r="E200" s="2" t="n">
        <v>45839</v>
      </c>
    </row>
    <row r="201">
      <c r="B201" s="1" t="n">
        <v>6</v>
      </c>
      <c r="C201" s="1" t="inlineStr">
        <is>
          <t>199-SAF</t>
        </is>
      </c>
      <c r="D201" s="12" t="n">
        <v>217808.81</v>
      </c>
      <c r="E201" s="2" t="n">
        <v>45983</v>
      </c>
    </row>
    <row r="202">
      <c r="B202" s="1" t="n">
        <v>14</v>
      </c>
      <c r="C202" s="1" t="inlineStr">
        <is>
          <t>200-CAD</t>
        </is>
      </c>
      <c r="D202" s="12" t="n">
        <v>1410127.05</v>
      </c>
      <c r="E202" s="2" t="n">
        <v>45823</v>
      </c>
    </row>
    <row r="203">
      <c r="B203" s="1" t="n">
        <v>5</v>
      </c>
      <c r="C203" s="1" t="inlineStr">
        <is>
          <t>201-SAF</t>
        </is>
      </c>
      <c r="D203" s="12" t="n">
        <v>69452.87</v>
      </c>
      <c r="E203" s="2" t="n">
        <v>45881</v>
      </c>
    </row>
    <row r="204">
      <c r="B204" s="1" t="n">
        <v>23</v>
      </c>
      <c r="C204" s="1" t="inlineStr">
        <is>
          <t>202-CAD</t>
        </is>
      </c>
      <c r="D204" s="12" t="n">
        <v>1611339.86</v>
      </c>
      <c r="E204" s="2" t="n">
        <v>45850</v>
      </c>
    </row>
    <row r="205">
      <c r="B205" s="1" t="n">
        <v>24</v>
      </c>
      <c r="C205" s="1" t="inlineStr">
        <is>
          <t>203-SAF</t>
        </is>
      </c>
      <c r="D205" s="12" t="n">
        <v>1321740.74</v>
      </c>
      <c r="E205" s="2" t="n">
        <v>45740</v>
      </c>
    </row>
    <row r="206">
      <c r="B206" s="1" t="n">
        <v>13</v>
      </c>
      <c r="C206" s="1" t="inlineStr">
        <is>
          <t>204-CAD</t>
        </is>
      </c>
      <c r="D206" s="12" t="n">
        <v>743211.0699999999</v>
      </c>
      <c r="E206" s="2" t="n">
        <v>45663</v>
      </c>
    </row>
    <row r="207">
      <c r="B207" s="1" t="n">
        <v>14</v>
      </c>
      <c r="C207" s="1" t="inlineStr">
        <is>
          <t>205-SAF</t>
        </is>
      </c>
      <c r="D207" s="12" t="n">
        <v>1005136.69</v>
      </c>
      <c r="E207" s="2" t="n">
        <v>45947</v>
      </c>
    </row>
    <row r="208">
      <c r="B208" s="1" t="n">
        <v>10</v>
      </c>
      <c r="C208" s="1" t="inlineStr">
        <is>
          <t>206-CAD</t>
        </is>
      </c>
      <c r="D208" s="12" t="n">
        <v>849664.3</v>
      </c>
      <c r="E208" s="2" t="n">
        <v>45717</v>
      </c>
    </row>
    <row r="209">
      <c r="B209" s="1" t="n">
        <v>22</v>
      </c>
      <c r="C209" s="1" t="inlineStr">
        <is>
          <t>207-SAF</t>
        </is>
      </c>
      <c r="D209" s="12" t="n">
        <v>1204098.25</v>
      </c>
      <c r="E209" s="2" t="n">
        <v>45954</v>
      </c>
    </row>
    <row r="210">
      <c r="B210" s="1" t="n">
        <v>2</v>
      </c>
      <c r="C210" s="1" t="inlineStr">
        <is>
          <t>208-CAD</t>
        </is>
      </c>
      <c r="D210" s="12" t="n">
        <v>951813.24</v>
      </c>
      <c r="E210" s="2" t="n">
        <v>46002</v>
      </c>
    </row>
    <row r="211">
      <c r="B211" s="1" t="n">
        <v>19</v>
      </c>
      <c r="C211" s="1" t="inlineStr">
        <is>
          <t>209-SAF</t>
        </is>
      </c>
      <c r="D211" s="12" t="n">
        <v>1846193.12</v>
      </c>
      <c r="E211" s="2" t="n">
        <v>45660</v>
      </c>
    </row>
    <row r="212">
      <c r="B212" s="1" t="n">
        <v>19</v>
      </c>
      <c r="C212" s="1" t="inlineStr">
        <is>
          <t>210-SAF</t>
        </is>
      </c>
      <c r="D212" s="12" t="n">
        <v>1724708.08</v>
      </c>
      <c r="E212" s="2" t="n">
        <v>45690</v>
      </c>
    </row>
    <row r="213">
      <c r="B213" s="1" t="n">
        <v>21</v>
      </c>
      <c r="C213" s="1" t="inlineStr">
        <is>
          <t>211-CAD</t>
        </is>
      </c>
      <c r="D213" s="12" t="n">
        <v>1048714.44</v>
      </c>
      <c r="E213" s="2" t="n">
        <v>45999</v>
      </c>
    </row>
    <row r="214">
      <c r="B214" s="1" t="n">
        <v>9</v>
      </c>
      <c r="C214" s="1" t="inlineStr">
        <is>
          <t>212-CAD</t>
        </is>
      </c>
      <c r="D214" s="12" t="n">
        <v>1026493.04</v>
      </c>
      <c r="E214" s="2" t="n">
        <v>45972</v>
      </c>
    </row>
    <row r="215">
      <c r="B215" s="1" t="n">
        <v>2</v>
      </c>
      <c r="C215" s="1" t="inlineStr">
        <is>
          <t>213-CAD</t>
        </is>
      </c>
      <c r="D215" s="12" t="n">
        <v>1579575.09</v>
      </c>
      <c r="E215" s="2" t="n">
        <v>45794</v>
      </c>
    </row>
    <row r="216">
      <c r="B216" s="1" t="n">
        <v>24</v>
      </c>
      <c r="C216" s="1" t="inlineStr">
        <is>
          <t>214-CAD</t>
        </is>
      </c>
      <c r="D216" s="12" t="n">
        <v>1852681.11</v>
      </c>
      <c r="E216" s="2" t="n">
        <v>45855</v>
      </c>
    </row>
    <row r="217">
      <c r="B217" s="1" t="n">
        <v>2</v>
      </c>
      <c r="C217" s="1" t="inlineStr">
        <is>
          <t>215-SAF</t>
        </is>
      </c>
      <c r="D217" s="12" t="n">
        <v>761105.67</v>
      </c>
      <c r="E217" s="2" t="n">
        <v>45701</v>
      </c>
    </row>
    <row r="218">
      <c r="B218" s="1" t="n">
        <v>14</v>
      </c>
      <c r="C218" s="1" t="inlineStr">
        <is>
          <t>216-CAD</t>
        </is>
      </c>
      <c r="D218" s="12" t="n">
        <v>1329037.61</v>
      </c>
      <c r="E218" s="2" t="n">
        <v>45666</v>
      </c>
    </row>
    <row r="219">
      <c r="B219" s="1" t="n">
        <v>17</v>
      </c>
      <c r="C219" s="1" t="inlineStr">
        <is>
          <t>217-CAD</t>
        </is>
      </c>
      <c r="D219" s="12" t="n">
        <v>163264.58</v>
      </c>
      <c r="E219" s="2" t="n">
        <v>45796</v>
      </c>
    </row>
    <row r="220">
      <c r="B220" s="1" t="n">
        <v>10</v>
      </c>
      <c r="C220" s="1" t="inlineStr">
        <is>
          <t>218-SAF</t>
        </is>
      </c>
      <c r="D220" s="12" t="n">
        <v>1312647.62</v>
      </c>
      <c r="E220" s="2" t="n">
        <v>46014</v>
      </c>
    </row>
    <row r="221">
      <c r="B221" s="1" t="n">
        <v>20</v>
      </c>
      <c r="C221" s="1" t="inlineStr">
        <is>
          <t>219-SAF</t>
        </is>
      </c>
      <c r="D221" s="12" t="n">
        <v>46092.97</v>
      </c>
      <c r="E221" s="2" t="n">
        <v>45740</v>
      </c>
    </row>
    <row r="222">
      <c r="B222" s="1" t="n">
        <v>3</v>
      </c>
      <c r="C222" s="1" t="inlineStr">
        <is>
          <t>220-CAD</t>
        </is>
      </c>
      <c r="D222" s="12" t="n">
        <v>1531296.48</v>
      </c>
      <c r="E222" s="2" t="n">
        <v>45851</v>
      </c>
    </row>
    <row r="223">
      <c r="B223" s="1" t="n">
        <v>7</v>
      </c>
      <c r="C223" s="1" t="inlineStr">
        <is>
          <t>221-SAF</t>
        </is>
      </c>
      <c r="D223" s="12" t="n">
        <v>1067845.41</v>
      </c>
      <c r="E223" s="2" t="n">
        <v>45822</v>
      </c>
    </row>
    <row r="224">
      <c r="B224" s="1" t="n">
        <v>23</v>
      </c>
      <c r="C224" s="1" t="inlineStr">
        <is>
          <t>222-SAF</t>
        </is>
      </c>
      <c r="D224" s="12" t="n">
        <v>1339099.11</v>
      </c>
      <c r="E224" s="2" t="n">
        <v>45940</v>
      </c>
    </row>
    <row r="225">
      <c r="B225" s="1" t="n">
        <v>11</v>
      </c>
      <c r="C225" s="1" t="inlineStr">
        <is>
          <t>223-SAF</t>
        </is>
      </c>
      <c r="D225" s="12" t="n">
        <v>1108227.44</v>
      </c>
      <c r="E225" s="2" t="n">
        <v>45816</v>
      </c>
    </row>
    <row r="226">
      <c r="B226" s="1" t="n">
        <v>21</v>
      </c>
      <c r="C226" s="1" t="inlineStr">
        <is>
          <t>224-SAF</t>
        </is>
      </c>
      <c r="D226" s="12" t="n">
        <v>1531504.1</v>
      </c>
      <c r="E226" s="2" t="n">
        <v>45700</v>
      </c>
    </row>
    <row r="227">
      <c r="B227" s="1" t="n">
        <v>13</v>
      </c>
      <c r="C227" s="1" t="inlineStr">
        <is>
          <t>225-CAD</t>
        </is>
      </c>
      <c r="D227" s="12" t="n">
        <v>377433.49</v>
      </c>
      <c r="E227" s="2" t="n">
        <v>45985</v>
      </c>
    </row>
    <row r="228">
      <c r="B228" s="1" t="n">
        <v>17</v>
      </c>
      <c r="C228" s="1" t="inlineStr">
        <is>
          <t>226-CAD</t>
        </is>
      </c>
      <c r="D228" s="12" t="n">
        <v>1787342.14</v>
      </c>
      <c r="E228" s="2" t="n">
        <v>45887</v>
      </c>
    </row>
    <row r="229">
      <c r="B229" s="1" t="n">
        <v>4</v>
      </c>
      <c r="C229" s="1" t="inlineStr">
        <is>
          <t>227-CAD</t>
        </is>
      </c>
      <c r="D229" s="12" t="n">
        <v>590776.22</v>
      </c>
      <c r="E229" s="2" t="n">
        <v>45769</v>
      </c>
    </row>
    <row r="230">
      <c r="B230" s="1" t="n">
        <v>2</v>
      </c>
      <c r="C230" s="1" t="inlineStr">
        <is>
          <t>228-SAF</t>
        </is>
      </c>
      <c r="D230" s="12" t="n">
        <v>1318248.86</v>
      </c>
      <c r="E230" s="2" t="n">
        <v>45846</v>
      </c>
    </row>
    <row r="231">
      <c r="B231" s="1" t="n">
        <v>21</v>
      </c>
      <c r="C231" s="1" t="inlineStr">
        <is>
          <t>229-CAD</t>
        </is>
      </c>
      <c r="D231" s="12" t="n">
        <v>670519.08</v>
      </c>
      <c r="E231" s="2" t="n">
        <v>45887</v>
      </c>
    </row>
    <row r="232">
      <c r="B232" s="1" t="n">
        <v>3</v>
      </c>
      <c r="C232" s="1" t="inlineStr">
        <is>
          <t>230-SAF</t>
        </is>
      </c>
      <c r="D232" s="12" t="n">
        <v>857370.85</v>
      </c>
      <c r="E232" s="2" t="n">
        <v>45860</v>
      </c>
    </row>
    <row r="233">
      <c r="B233" s="1" t="n">
        <v>16</v>
      </c>
      <c r="C233" s="1" t="inlineStr">
        <is>
          <t>231-SAF</t>
        </is>
      </c>
      <c r="D233" s="12" t="n">
        <v>1119069.64</v>
      </c>
      <c r="E233" s="2" t="n">
        <v>45887</v>
      </c>
    </row>
    <row r="234">
      <c r="B234" s="1" t="n">
        <v>18</v>
      </c>
      <c r="C234" s="1" t="inlineStr">
        <is>
          <t>232-SAF</t>
        </is>
      </c>
      <c r="D234" s="12" t="n">
        <v>1432538.42</v>
      </c>
      <c r="E234" s="2" t="n">
        <v>45984</v>
      </c>
    </row>
    <row r="235">
      <c r="B235" s="1" t="n">
        <v>16</v>
      </c>
      <c r="C235" s="1" t="inlineStr">
        <is>
          <t>233-SAF</t>
        </is>
      </c>
      <c r="D235" s="12" t="n">
        <v>145444.16</v>
      </c>
      <c r="E235" s="2" t="n">
        <v>45902</v>
      </c>
    </row>
    <row r="236">
      <c r="B236" s="1" t="n">
        <v>8</v>
      </c>
      <c r="C236" s="1" t="inlineStr">
        <is>
          <t>234-CAD</t>
        </is>
      </c>
      <c r="D236" s="12" t="n">
        <v>1305952.55</v>
      </c>
      <c r="E236" s="2" t="n">
        <v>45703</v>
      </c>
    </row>
    <row r="237">
      <c r="B237" s="1" t="n">
        <v>12</v>
      </c>
      <c r="C237" s="1" t="inlineStr">
        <is>
          <t>235-SAF</t>
        </is>
      </c>
      <c r="D237" s="12" t="n">
        <v>1786722.81</v>
      </c>
      <c r="E237" s="2" t="n">
        <v>45816</v>
      </c>
    </row>
    <row r="238">
      <c r="B238" s="1" t="n">
        <v>13</v>
      </c>
      <c r="C238" s="1" t="inlineStr">
        <is>
          <t>236-CAD</t>
        </is>
      </c>
      <c r="D238" s="12" t="n">
        <v>1124722.95</v>
      </c>
      <c r="E238" s="2" t="n">
        <v>45922</v>
      </c>
    </row>
    <row r="239">
      <c r="B239" s="1" t="n">
        <v>9</v>
      </c>
      <c r="C239" s="1" t="inlineStr">
        <is>
          <t>237-CAD</t>
        </is>
      </c>
      <c r="D239" s="12" t="n">
        <v>1055103.38</v>
      </c>
      <c r="E239" s="2" t="n">
        <v>45763</v>
      </c>
    </row>
    <row r="240">
      <c r="B240" s="1" t="n">
        <v>14</v>
      </c>
      <c r="C240" s="1" t="inlineStr">
        <is>
          <t>238-SAF</t>
        </is>
      </c>
      <c r="D240" s="12" t="n">
        <v>395712.21</v>
      </c>
      <c r="E240" s="2" t="n">
        <v>45692</v>
      </c>
    </row>
    <row r="241">
      <c r="B241" s="1" t="n">
        <v>16</v>
      </c>
      <c r="C241" s="1" t="inlineStr">
        <is>
          <t>239-SAF</t>
        </is>
      </c>
      <c r="D241" s="12" t="n">
        <v>1089204.62</v>
      </c>
      <c r="E241" s="2" t="n">
        <v>45996</v>
      </c>
    </row>
    <row r="242">
      <c r="B242" s="1" t="n">
        <v>1</v>
      </c>
      <c r="C242" s="1" t="inlineStr">
        <is>
          <t>240-SAF</t>
        </is>
      </c>
      <c r="D242" s="12" t="n">
        <v>1860922.68</v>
      </c>
      <c r="E242" s="2" t="n">
        <v>45858</v>
      </c>
    </row>
    <row r="243">
      <c r="B243" s="1" t="n">
        <v>23</v>
      </c>
      <c r="C243" s="1" t="inlineStr">
        <is>
          <t>241-CAD</t>
        </is>
      </c>
      <c r="D243" s="12" t="n">
        <v>1335121.49</v>
      </c>
      <c r="E243" s="2" t="n">
        <v>45748</v>
      </c>
    </row>
    <row r="244">
      <c r="B244" s="1" t="n">
        <v>5</v>
      </c>
      <c r="C244" s="1" t="inlineStr">
        <is>
          <t>242-SAF</t>
        </is>
      </c>
      <c r="D244" s="12" t="n">
        <v>1980804.76</v>
      </c>
      <c r="E244" s="2" t="n">
        <v>45882</v>
      </c>
    </row>
    <row r="245">
      <c r="B245" s="1" t="n">
        <v>11</v>
      </c>
      <c r="C245" s="1" t="inlineStr">
        <is>
          <t>243-CAD</t>
        </is>
      </c>
      <c r="D245" s="12" t="n">
        <v>45675.5</v>
      </c>
      <c r="E245" s="2" t="n">
        <v>45875</v>
      </c>
    </row>
    <row r="246">
      <c r="B246" s="1" t="n">
        <v>7</v>
      </c>
      <c r="C246" s="1" t="inlineStr">
        <is>
          <t>244-CAD</t>
        </is>
      </c>
      <c r="D246" s="12" t="n">
        <v>923162.51</v>
      </c>
      <c r="E246" s="2" t="n">
        <v>45769</v>
      </c>
    </row>
    <row r="247">
      <c r="B247" s="1" t="n">
        <v>14</v>
      </c>
      <c r="C247" s="1" t="inlineStr">
        <is>
          <t>245-CAD</t>
        </is>
      </c>
      <c r="D247" s="12" t="n">
        <v>353009.71</v>
      </c>
      <c r="E247" s="2" t="n">
        <v>45792</v>
      </c>
    </row>
    <row r="248">
      <c r="B248" s="1" t="n">
        <v>20</v>
      </c>
      <c r="C248" s="1" t="inlineStr">
        <is>
          <t>246-CAD</t>
        </is>
      </c>
      <c r="D248" s="12" t="n">
        <v>493244.51</v>
      </c>
      <c r="E248" s="2" t="n">
        <v>45787</v>
      </c>
    </row>
    <row r="249">
      <c r="B249" s="1" t="n">
        <v>17</v>
      </c>
      <c r="C249" s="1" t="inlineStr">
        <is>
          <t>247-SAF</t>
        </is>
      </c>
      <c r="D249" s="12" t="n">
        <v>1262813.69</v>
      </c>
      <c r="E249" s="2" t="n">
        <v>45702</v>
      </c>
    </row>
    <row r="250">
      <c r="B250" s="1" t="n">
        <v>19</v>
      </c>
      <c r="C250" s="1" t="inlineStr">
        <is>
          <t>248-SAF</t>
        </is>
      </c>
      <c r="D250" s="12" t="n">
        <v>40852.14</v>
      </c>
      <c r="E250" s="2" t="n">
        <v>45904</v>
      </c>
    </row>
    <row r="251">
      <c r="B251" s="1" t="n">
        <v>23</v>
      </c>
      <c r="C251" s="1" t="inlineStr">
        <is>
          <t>249-CAD</t>
        </is>
      </c>
      <c r="D251" s="12" t="n">
        <v>1777687.41</v>
      </c>
      <c r="E251" s="2" t="n">
        <v>45723</v>
      </c>
    </row>
    <row r="252">
      <c r="B252" s="1" t="n">
        <v>3</v>
      </c>
      <c r="C252" s="1" t="inlineStr">
        <is>
          <t>250-CAD</t>
        </is>
      </c>
      <c r="D252" s="12" t="n">
        <v>454823.18</v>
      </c>
      <c r="E252" s="2" t="n">
        <v>45883</v>
      </c>
    </row>
    <row r="253">
      <c r="B253" s="1" t="n">
        <v>14</v>
      </c>
      <c r="C253" s="1" t="inlineStr">
        <is>
          <t>251-SAF</t>
        </is>
      </c>
      <c r="D253" s="12" t="n">
        <v>1491732.17</v>
      </c>
      <c r="E253" s="2" t="n">
        <v>45831</v>
      </c>
    </row>
    <row r="254">
      <c r="B254" s="1" t="n">
        <v>10</v>
      </c>
      <c r="C254" s="1" t="inlineStr">
        <is>
          <t>252-CAD</t>
        </is>
      </c>
      <c r="D254" s="12" t="n">
        <v>1233244.5</v>
      </c>
      <c r="E254" s="2" t="n">
        <v>45870</v>
      </c>
    </row>
    <row r="255">
      <c r="B255" s="1" t="n">
        <v>10</v>
      </c>
      <c r="C255" s="1" t="inlineStr">
        <is>
          <t>253-CAD</t>
        </is>
      </c>
      <c r="D255" s="12" t="n">
        <v>38401.79</v>
      </c>
      <c r="E255" s="2" t="n">
        <v>45672</v>
      </c>
    </row>
    <row r="256">
      <c r="B256" s="1" t="n">
        <v>20</v>
      </c>
      <c r="C256" s="1" t="inlineStr">
        <is>
          <t>254-CAD</t>
        </is>
      </c>
      <c r="D256" s="12" t="n">
        <v>289710.63</v>
      </c>
      <c r="E256" s="2" t="n">
        <v>45755</v>
      </c>
    </row>
    <row r="257">
      <c r="B257" s="1" t="n">
        <v>10</v>
      </c>
      <c r="C257" s="1" t="inlineStr">
        <is>
          <t>255-CAD</t>
        </is>
      </c>
      <c r="D257" s="12" t="n">
        <v>1597858.51</v>
      </c>
      <c r="E257" s="2" t="n">
        <v>45978</v>
      </c>
    </row>
    <row r="258">
      <c r="B258" s="1" t="n">
        <v>4</v>
      </c>
      <c r="C258" s="1" t="inlineStr">
        <is>
          <t>256-CAD</t>
        </is>
      </c>
      <c r="D258" s="12" t="n">
        <v>1435011.96</v>
      </c>
      <c r="E258" s="2" t="n">
        <v>45708</v>
      </c>
    </row>
    <row r="259">
      <c r="B259" s="1" t="n">
        <v>2</v>
      </c>
      <c r="C259" s="1" t="inlineStr">
        <is>
          <t>257-CAD</t>
        </is>
      </c>
      <c r="D259" s="12" t="n">
        <v>1514263.64</v>
      </c>
      <c r="E259" s="2" t="n">
        <v>45982</v>
      </c>
    </row>
    <row r="260">
      <c r="B260" s="1" t="n">
        <v>23</v>
      </c>
      <c r="C260" s="1" t="inlineStr">
        <is>
          <t>258-CAD</t>
        </is>
      </c>
      <c r="D260" s="12" t="n">
        <v>806876.58</v>
      </c>
      <c r="E260" s="2" t="n">
        <v>45788</v>
      </c>
    </row>
    <row r="261">
      <c r="B261" s="1" t="n">
        <v>24</v>
      </c>
      <c r="C261" s="1" t="inlineStr">
        <is>
          <t>259-SAF</t>
        </is>
      </c>
      <c r="D261" s="12" t="n">
        <v>197955.71</v>
      </c>
      <c r="E261" s="2" t="n">
        <v>45733</v>
      </c>
    </row>
    <row r="262">
      <c r="B262" s="1" t="n">
        <v>8</v>
      </c>
      <c r="C262" s="1" t="inlineStr">
        <is>
          <t>260-SAF</t>
        </is>
      </c>
      <c r="D262" s="12" t="n">
        <v>409292.67</v>
      </c>
      <c r="E262" s="2" t="n">
        <v>46000</v>
      </c>
    </row>
    <row r="263">
      <c r="B263" s="1" t="n">
        <v>3</v>
      </c>
      <c r="C263" s="1" t="inlineStr">
        <is>
          <t>261-SAF</t>
        </is>
      </c>
      <c r="D263" s="12" t="n">
        <v>931685.25</v>
      </c>
      <c r="E263" s="2" t="n">
        <v>45729</v>
      </c>
    </row>
    <row r="264">
      <c r="B264" s="1" t="n">
        <v>9</v>
      </c>
      <c r="C264" s="1" t="inlineStr">
        <is>
          <t>262-SAF</t>
        </is>
      </c>
      <c r="D264" s="12" t="n">
        <v>1923894.49</v>
      </c>
      <c r="E264" s="2" t="n">
        <v>45963</v>
      </c>
    </row>
    <row r="265">
      <c r="B265" s="1" t="n">
        <v>14</v>
      </c>
      <c r="C265" s="1" t="inlineStr">
        <is>
          <t>263-CAD</t>
        </is>
      </c>
      <c r="D265" s="12" t="n">
        <v>1878009.77</v>
      </c>
      <c r="E265" s="2" t="n">
        <v>46011</v>
      </c>
    </row>
    <row r="266">
      <c r="B266" s="1" t="n">
        <v>11</v>
      </c>
      <c r="C266" s="1" t="inlineStr">
        <is>
          <t>264-CAD</t>
        </is>
      </c>
      <c r="D266" s="12" t="n">
        <v>1114687.68</v>
      </c>
      <c r="E266" s="2" t="n">
        <v>45755</v>
      </c>
    </row>
    <row r="267">
      <c r="B267" s="1" t="n">
        <v>12</v>
      </c>
      <c r="C267" s="1" t="inlineStr">
        <is>
          <t>265-CAD</t>
        </is>
      </c>
      <c r="D267" s="12" t="n">
        <v>1743955.48</v>
      </c>
      <c r="E267" s="2" t="n">
        <v>45997</v>
      </c>
    </row>
    <row r="268">
      <c r="B268" s="1" t="n">
        <v>17</v>
      </c>
      <c r="C268" s="1" t="inlineStr">
        <is>
          <t>266-CAD</t>
        </is>
      </c>
      <c r="D268" s="12" t="n">
        <v>361140.87</v>
      </c>
      <c r="E268" s="2" t="n">
        <v>45698</v>
      </c>
    </row>
    <row r="269">
      <c r="B269" s="1" t="n">
        <v>8</v>
      </c>
      <c r="C269" s="1" t="inlineStr">
        <is>
          <t>267-CAD</t>
        </is>
      </c>
      <c r="D269" s="12" t="n">
        <v>1749447.36</v>
      </c>
      <c r="E269" s="2" t="n">
        <v>45955</v>
      </c>
    </row>
    <row r="270">
      <c r="B270" s="1" t="n">
        <v>12</v>
      </c>
      <c r="C270" s="1" t="inlineStr">
        <is>
          <t>268-CAD</t>
        </is>
      </c>
      <c r="D270" s="12" t="n">
        <v>407839.63</v>
      </c>
      <c r="E270" s="2" t="n">
        <v>45847</v>
      </c>
    </row>
    <row r="271">
      <c r="B271" s="1" t="n">
        <v>21</v>
      </c>
      <c r="C271" s="1" t="inlineStr">
        <is>
          <t>269-CAD</t>
        </is>
      </c>
      <c r="D271" s="12" t="n">
        <v>131129.58</v>
      </c>
      <c r="E271" s="2" t="n">
        <v>45810</v>
      </c>
    </row>
    <row r="272">
      <c r="B272" s="1" t="n">
        <v>22</v>
      </c>
      <c r="C272" s="1" t="inlineStr">
        <is>
          <t>270-SAF</t>
        </is>
      </c>
      <c r="D272" s="12" t="n">
        <v>1218231.49</v>
      </c>
      <c r="E272" s="2" t="n">
        <v>45962</v>
      </c>
    </row>
    <row r="273">
      <c r="B273" s="1" t="n">
        <v>4</v>
      </c>
      <c r="C273" s="1" t="inlineStr">
        <is>
          <t>271-SAF</t>
        </is>
      </c>
      <c r="D273" s="12" t="n">
        <v>1259697.71</v>
      </c>
      <c r="E273" s="2" t="n">
        <v>45951</v>
      </c>
    </row>
    <row r="274">
      <c r="B274" s="1" t="n">
        <v>18</v>
      </c>
      <c r="C274" s="1" t="inlineStr">
        <is>
          <t>272-SAF</t>
        </is>
      </c>
      <c r="D274" s="12" t="n">
        <v>609696.17</v>
      </c>
      <c r="E274" s="2" t="n">
        <v>45727</v>
      </c>
    </row>
    <row r="275">
      <c r="B275" s="1" t="n">
        <v>23</v>
      </c>
      <c r="C275" s="1" t="inlineStr">
        <is>
          <t>273-CAD</t>
        </is>
      </c>
      <c r="D275" s="12" t="n">
        <v>366225.73</v>
      </c>
      <c r="E275" s="2" t="n">
        <v>45762</v>
      </c>
    </row>
    <row r="276">
      <c r="B276" s="1" t="n">
        <v>18</v>
      </c>
      <c r="C276" s="1" t="inlineStr">
        <is>
          <t>274-CAD</t>
        </is>
      </c>
      <c r="D276" s="12" t="n">
        <v>715494.83</v>
      </c>
      <c r="E276" s="2" t="n">
        <v>45726</v>
      </c>
    </row>
    <row r="277">
      <c r="B277" s="1" t="n">
        <v>19</v>
      </c>
      <c r="C277" s="1" t="inlineStr">
        <is>
          <t>275-SAF</t>
        </is>
      </c>
      <c r="D277" s="12" t="n">
        <v>1420611.45</v>
      </c>
      <c r="E277" s="2" t="n">
        <v>45969</v>
      </c>
    </row>
    <row r="278">
      <c r="B278" s="1" t="n">
        <v>11</v>
      </c>
      <c r="C278" s="1" t="inlineStr">
        <is>
          <t>276-CAD</t>
        </is>
      </c>
      <c r="D278" s="12" t="n">
        <v>695774.03</v>
      </c>
      <c r="E278" s="2" t="n">
        <v>45873</v>
      </c>
    </row>
    <row r="279">
      <c r="B279" s="1" t="n">
        <v>2</v>
      </c>
      <c r="C279" s="1" t="inlineStr">
        <is>
          <t>277-SAF</t>
        </is>
      </c>
      <c r="D279" s="12" t="n">
        <v>756087.1</v>
      </c>
      <c r="E279" s="2" t="n">
        <v>45727</v>
      </c>
    </row>
    <row r="280">
      <c r="B280" s="1" t="n">
        <v>8</v>
      </c>
      <c r="C280" s="1" t="inlineStr">
        <is>
          <t>278-SAF</t>
        </is>
      </c>
      <c r="D280" s="12" t="n">
        <v>616530.55</v>
      </c>
      <c r="E280" s="2" t="n">
        <v>46002</v>
      </c>
    </row>
    <row r="281">
      <c r="B281" s="1" t="n">
        <v>24</v>
      </c>
      <c r="C281" s="1" t="inlineStr">
        <is>
          <t>279-CAD</t>
        </is>
      </c>
      <c r="D281" s="12" t="n">
        <v>802427.77</v>
      </c>
      <c r="E281" s="2" t="n">
        <v>45885</v>
      </c>
    </row>
    <row r="282">
      <c r="B282" s="1" t="n">
        <v>9</v>
      </c>
      <c r="C282" s="1" t="inlineStr">
        <is>
          <t>280-CAD</t>
        </is>
      </c>
      <c r="D282" s="12" t="n">
        <v>1393584.71</v>
      </c>
      <c r="E282" s="2" t="n">
        <v>46011</v>
      </c>
    </row>
    <row r="283">
      <c r="B283" s="1" t="n">
        <v>15</v>
      </c>
      <c r="C283" s="1" t="inlineStr">
        <is>
          <t>281-SAF</t>
        </is>
      </c>
      <c r="D283" s="12" t="n">
        <v>20656.49</v>
      </c>
      <c r="E283" s="2" t="n">
        <v>45789</v>
      </c>
    </row>
    <row r="284">
      <c r="B284" s="1" t="n">
        <v>1</v>
      </c>
      <c r="C284" s="1" t="inlineStr">
        <is>
          <t>282-SAF</t>
        </is>
      </c>
      <c r="D284" s="12" t="n">
        <v>1326262.4</v>
      </c>
      <c r="E284" s="2" t="n">
        <v>45857</v>
      </c>
    </row>
    <row r="285">
      <c r="B285" s="1" t="n">
        <v>22</v>
      </c>
      <c r="C285" s="1" t="inlineStr">
        <is>
          <t>283-SAF</t>
        </is>
      </c>
      <c r="D285" s="12" t="n">
        <v>1714222.93</v>
      </c>
      <c r="E285" s="2" t="n">
        <v>45946</v>
      </c>
    </row>
    <row r="286">
      <c r="B286" s="1" t="n">
        <v>8</v>
      </c>
      <c r="C286" s="1" t="inlineStr">
        <is>
          <t>284-CAD</t>
        </is>
      </c>
      <c r="D286" s="12" t="n">
        <v>821133.86</v>
      </c>
      <c r="E286" s="2" t="n">
        <v>46009</v>
      </c>
    </row>
    <row r="287">
      <c r="B287" s="1" t="n">
        <v>15</v>
      </c>
      <c r="C287" s="1" t="inlineStr">
        <is>
          <t>285-SAF</t>
        </is>
      </c>
      <c r="D287" s="12" t="n">
        <v>1663291.93</v>
      </c>
      <c r="E287" s="2" t="n">
        <v>45879</v>
      </c>
    </row>
    <row r="288">
      <c r="B288" s="1" t="n">
        <v>22</v>
      </c>
      <c r="C288" s="1" t="inlineStr">
        <is>
          <t>286-CAD</t>
        </is>
      </c>
      <c r="D288" s="12" t="n">
        <v>1256104.36</v>
      </c>
      <c r="E288" s="2" t="n">
        <v>45883</v>
      </c>
    </row>
    <row r="289">
      <c r="B289" s="1" t="n">
        <v>6</v>
      </c>
      <c r="C289" s="1" t="inlineStr">
        <is>
          <t>287-SAF</t>
        </is>
      </c>
      <c r="D289" s="12" t="n">
        <v>741572.21</v>
      </c>
      <c r="E289" s="2" t="n">
        <v>45931</v>
      </c>
    </row>
    <row r="290">
      <c r="B290" s="1" t="n">
        <v>18</v>
      </c>
      <c r="C290" s="1" t="inlineStr">
        <is>
          <t>288-SAF</t>
        </is>
      </c>
      <c r="D290" s="12" t="n">
        <v>758017.4300000001</v>
      </c>
      <c r="E290" s="2" t="n">
        <v>45846</v>
      </c>
    </row>
    <row r="291">
      <c r="B291" s="1" t="n">
        <v>15</v>
      </c>
      <c r="C291" s="1" t="inlineStr">
        <is>
          <t>289-CAD</t>
        </is>
      </c>
      <c r="D291" s="12" t="n">
        <v>1870838.53</v>
      </c>
      <c r="E291" s="2" t="n">
        <v>45732</v>
      </c>
    </row>
    <row r="292">
      <c r="B292" s="1" t="n">
        <v>16</v>
      </c>
      <c r="C292" s="1" t="inlineStr">
        <is>
          <t>290-SAF</t>
        </is>
      </c>
      <c r="D292" s="12" t="n">
        <v>1846205.55</v>
      </c>
      <c r="E292" s="2" t="n">
        <v>45689</v>
      </c>
    </row>
    <row r="293">
      <c r="B293" s="1" t="n">
        <v>18</v>
      </c>
      <c r="C293" s="1" t="inlineStr">
        <is>
          <t>291-CAD</t>
        </is>
      </c>
      <c r="D293" s="12" t="n">
        <v>948119.24</v>
      </c>
      <c r="E293" s="2" t="n">
        <v>45709</v>
      </c>
    </row>
    <row r="294">
      <c r="B294" s="1" t="n">
        <v>24</v>
      </c>
      <c r="C294" s="1" t="inlineStr">
        <is>
          <t>292-CAD</t>
        </is>
      </c>
      <c r="D294" s="12" t="n">
        <v>689169.99</v>
      </c>
      <c r="E294" s="2" t="n">
        <v>45664</v>
      </c>
    </row>
    <row r="295">
      <c r="B295" s="1" t="n">
        <v>18</v>
      </c>
      <c r="C295" s="1" t="inlineStr">
        <is>
          <t>293-CAD</t>
        </is>
      </c>
      <c r="D295" s="12" t="n">
        <v>317342.04</v>
      </c>
      <c r="E295" s="2" t="n">
        <v>46002</v>
      </c>
    </row>
    <row r="296">
      <c r="B296" s="1" t="n">
        <v>14</v>
      </c>
      <c r="C296" s="1" t="inlineStr">
        <is>
          <t>294-CAD</t>
        </is>
      </c>
      <c r="D296" s="12" t="n">
        <v>771972.34</v>
      </c>
      <c r="E296" s="2" t="n">
        <v>45881</v>
      </c>
    </row>
    <row r="297">
      <c r="B297" s="1" t="n">
        <v>24</v>
      </c>
      <c r="C297" s="1" t="inlineStr">
        <is>
          <t>295-SAF</t>
        </is>
      </c>
      <c r="D297" s="12" t="n">
        <v>1045516.69</v>
      </c>
      <c r="E297" s="2" t="n">
        <v>45885</v>
      </c>
    </row>
    <row r="298">
      <c r="B298" s="1" t="n">
        <v>23</v>
      </c>
      <c r="C298" s="1" t="inlineStr">
        <is>
          <t>296-CAD</t>
        </is>
      </c>
      <c r="D298" s="12" t="n">
        <v>1736029.77</v>
      </c>
      <c r="E298" s="2" t="n">
        <v>45741</v>
      </c>
    </row>
    <row r="299">
      <c r="B299" s="1" t="n">
        <v>15</v>
      </c>
      <c r="C299" s="1" t="inlineStr">
        <is>
          <t>297-SAF</t>
        </is>
      </c>
      <c r="D299" s="12" t="n">
        <v>1629727.59</v>
      </c>
      <c r="E299" s="2" t="n">
        <v>45980</v>
      </c>
    </row>
    <row r="300">
      <c r="B300" s="1" t="n">
        <v>13</v>
      </c>
      <c r="C300" s="1" t="inlineStr">
        <is>
          <t>298-SAF</t>
        </is>
      </c>
      <c r="D300" s="12" t="n">
        <v>1772751.52</v>
      </c>
      <c r="E300" s="2" t="n">
        <v>45940</v>
      </c>
    </row>
    <row r="301">
      <c r="B301" s="1" t="n">
        <v>14</v>
      </c>
      <c r="C301" s="1" t="inlineStr">
        <is>
          <t>299-SAF</t>
        </is>
      </c>
      <c r="D301" s="12" t="n">
        <v>1753038.32</v>
      </c>
      <c r="E301" s="2" t="n">
        <v>45785</v>
      </c>
    </row>
    <row r="302">
      <c r="B302" s="1" t="n">
        <v>17</v>
      </c>
      <c r="C302" s="1" t="inlineStr">
        <is>
          <t>300-SAF</t>
        </is>
      </c>
      <c r="D302" s="12" t="n">
        <v>577424.78</v>
      </c>
      <c r="E302" s="2" t="n">
        <v>45946</v>
      </c>
    </row>
    <row r="303">
      <c r="B303" s="1" t="n">
        <v>1</v>
      </c>
      <c r="C303" s="1" t="inlineStr">
        <is>
          <t>301-SAF</t>
        </is>
      </c>
      <c r="D303" s="12" t="n">
        <v>405342.38</v>
      </c>
      <c r="E303" s="2" t="n">
        <v>45816</v>
      </c>
    </row>
    <row r="304">
      <c r="B304" s="1" t="n">
        <v>8</v>
      </c>
      <c r="C304" s="1" t="inlineStr">
        <is>
          <t>302-SAF</t>
        </is>
      </c>
      <c r="D304" s="12" t="n">
        <v>469595.68</v>
      </c>
      <c r="E304" s="2" t="n">
        <v>45830</v>
      </c>
    </row>
    <row r="305">
      <c r="B305" s="1" t="n">
        <v>23</v>
      </c>
      <c r="C305" s="1" t="inlineStr">
        <is>
          <t>303-CAD</t>
        </is>
      </c>
      <c r="D305" s="12" t="n">
        <v>1462512.98</v>
      </c>
      <c r="E305" s="2" t="n">
        <v>45913</v>
      </c>
    </row>
    <row r="306">
      <c r="B306" s="1" t="n">
        <v>13</v>
      </c>
      <c r="C306" s="1" t="inlineStr">
        <is>
          <t>304-SAF</t>
        </is>
      </c>
      <c r="D306" s="12" t="n">
        <v>677821.16</v>
      </c>
      <c r="E306" s="2" t="n">
        <v>45752</v>
      </c>
    </row>
    <row r="307">
      <c r="B307" s="1" t="n">
        <v>3</v>
      </c>
      <c r="C307" s="1" t="inlineStr">
        <is>
          <t>305-CAD</t>
        </is>
      </c>
      <c r="D307" s="12" t="n">
        <v>1003475.83</v>
      </c>
      <c r="E307" s="2" t="n">
        <v>45955</v>
      </c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Bruno Polizzi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2026-03-26T16:43:51Z</dcterms:modified>
  <cp:lastModifiedBy>Bruno Polizzi (AR)</cp:lastModifiedBy>
</cp:coreProperties>
</file>